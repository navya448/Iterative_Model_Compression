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nds" sheetId="2" state="visible" r:id="rId2"/>
    <sheet name="Trials" sheetId="3" state="visible" r:id="rId3"/>
    <sheet name="Rule_scores" sheetId="4" state="visible" r:id="rId4"/>
    <sheet name="Correlations" sheetId="5" state="visible" r:id="rId5"/>
    <sheet name="Fig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2" fontId="4" fillId="3" borderId="0" pivotButton="0" quotePrefix="0" xfId="0"/>
    <xf numFmtId="165" fontId="4" fillId="3" borderId="0" pivotButton="0" quotePrefix="0" xfId="0"/>
    <xf numFmtId="0" fontId="2" fillId="3" borderId="0" pivotButton="0" quotePrefix="0" xfId="0"/>
    <xf numFmtId="2" fontId="2" fillId="3" borderId="0" pivotButton="0" quotePrefix="0" xfId="0"/>
    <xf numFmtId="166" fontId="2" fillId="3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2" fillId="0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429375" cy="2314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8743950" cy="2121693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5829300" cy="5486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965531" cy="167163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965531" cy="3343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858125" cy="2714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IMP rewind-point experiment: results (ResNet-20 / CIFAR-10, T = 80, prune 20% per round, tol 0.5pp, seeds 1 &amp; 2)</t>
        </is>
      </c>
    </row>
    <row r="2">
      <c r="A2" s="2" t="inlineStr">
        <is>
          <t>Question: t* = latest dense epoch you can rewind to after pruning and still reach dense val acc - 0.5pp. Does t* follow any measurable metric?</t>
        </is>
      </c>
    </row>
    <row r="3">
      <c r="A3" s="2" t="inlineStr"/>
    </row>
    <row r="4">
      <c r="A4" s="1" t="inlineStr">
        <is>
          <t>Main results</t>
        </is>
      </c>
    </row>
    <row r="5">
      <c r="A5" s="2" t="inlineStr">
        <is>
          <t>1. t* moves steadily earlier as sparsity rises: 80 (no retraining needed) up to about 50% sparsity, about 62-70 at 59%, 34-55 at 67%, 38-43 at 79%, then 2-26 above 83%.</t>
        </is>
      </c>
    </row>
    <row r="6">
      <c r="A6" s="2" t="inlineStr">
        <is>
          <t>2. Sparsity is the strongest single predictor (Spearman -0.86). A linear fit t* = 112 - 93 x sparsity, fitted on one seed, predicts the other seed with mean absolute error (MAE) 11.8 epochs, better than every candidate rule (best: loss match on train, MAE 16.7).</t>
        </is>
      </c>
    </row>
    <row r="7">
      <c r="A7" s="2" t="inlineStr">
        <is>
          <t>3. All damage metrics (D_loss_val, D_acc_val, D_acc_train, weight perturbation, ...) correlate with t* overall (rho -0.6 to -0.82), but mostly because damage and t* both grow with sparsity. With sparsity held fixed, none is significant (partial rho -0.27 to -0.46, all p &gt; 0.05).</t>
        </is>
      </c>
    </row>
    <row r="8">
      <c r="A8" s="2" t="inlineStr">
        <is>
          <t>4. The one metric that adds information beyond sparsity is headroom_before = val acc of the model before pruning minus the target (partial rho +0.61, p = 0.009). A model that ended the previous round well above target can absorb more pruning, e.g. seed1 round 6 (headroom 0.78pp -&gt; t* = 80) and seed2 round 9 (round 8 retrained 78 epochs -&gt; low damage, t* = 26).</t>
        </is>
      </c>
    </row>
    <row r="9">
      <c r="A9" s="2" t="inlineStr">
        <is>
          <t>5. Path dependence: the t* chosen in round k sets the starting model of round k+1 (long retrain = stronger model = later t* next round). So t* is not a function of sparsity alone, and the two seeds diverge from round 5 on.</t>
        </is>
      </c>
    </row>
    <row r="10">
      <c r="A10" s="2" t="inlineStr">
        <is>
          <t>6. The loss- and accuracy-match rules saturate at epoch 40: after the first LR drop the dense val loss is flat or slightly rising, so any positive damage maps to t = 40. They cannot predict t* in the 40-80 range by construction. The specialization point (51 / 48) is a constant per seed, not a per-round rule.</t>
        </is>
      </c>
    </row>
    <row r="11">
      <c r="A11" s="2" t="inlineStr">
        <is>
          <t>7. Noise caveat: the standard error of val acc on 5k images is about 0.40pp, close to the 0.5pp tolerance. In late rounds (seed2 rounds 8-10) final acc vs t is non-monotonic (e.g. round 10: t=13 -&gt; 90.90%, t=14 -&gt; 90.18%), so the binary-search t* there is partly noise. Seed1 stopped at round 8 (t=2 gave 90.28% &lt; 90.62% target).</t>
        </is>
      </c>
    </row>
    <row r="12">
      <c r="A12" s="2" t="inlineStr"/>
    </row>
    <row r="13">
      <c r="A13" s="1" t="inlineStr">
        <is>
          <t>Suggested next steps</t>
        </is>
      </c>
    </row>
    <row r="14">
      <c r="A14" s="2" t="inlineStr">
        <is>
          <t>- Repeat a few trials (2-3 training seeds per t) in late rounds to measure the noise in final acc, or use a larger held-out set for the recovered / not-recovered decision.</t>
        </is>
      </c>
    </row>
    <row r="15">
      <c r="A15" s="2" t="inlineStr">
        <is>
          <t>- Measure damage relative to the target (headroom / deficit) rather than relative to the previous model, and test a rule t* = f(sparsity, headroom).</t>
        </is>
      </c>
    </row>
    <row r="16">
      <c r="A16" s="2" t="inlineStr">
        <is>
          <t>- Run held-out seed 3 to test the sparsity fit (prediction: t* = 112 - 93 x sparsity, clipped to [0, 80]).</t>
        </is>
      </c>
    </row>
    <row r="17">
      <c r="A17" s="2" t="inlineStr"/>
    </row>
    <row r="18">
      <c r="A18" s="2" t="inlineStr">
        <is>
          <t>Sheets: Rounds (one row per IMP round, with formulas), Trials (every rewind attempt), Rule_scores, Correlations,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58" customHeight="1">
      <c r="A1" s="3" t="inlineStr">
        <is>
          <t>Seed</t>
        </is>
      </c>
      <c r="B1" s="3" t="inlineStr">
        <is>
          <t>Round</t>
        </is>
      </c>
      <c r="C1" s="3" t="inlineStr">
        <is>
          <t>Sparsity</t>
        </is>
      </c>
      <c r="D1" s="3" t="inlineStr">
        <is>
          <t>Target val acc (%)</t>
        </is>
      </c>
      <c r="E1" s="3" t="inlineStr">
        <is>
          <t>Val acc before prune (%)</t>
        </is>
      </c>
      <c r="F1" s="3" t="inlineStr">
        <is>
          <t>Val acc after prune + BN recal (%)</t>
        </is>
      </c>
      <c r="G1" s="3" t="inlineStr">
        <is>
          <t>D_loss_val</t>
        </is>
      </c>
      <c r="H1" s="3" t="inlineStr">
        <is>
          <t>D_loss_train</t>
        </is>
      </c>
      <c r="I1" s="3" t="inlineStr">
        <is>
          <t>D_acc_val (pp)</t>
        </is>
      </c>
      <c r="J1" s="3" t="inlineStr">
        <is>
          <t>D_acc_train (pp)</t>
        </is>
      </c>
      <c r="K1" s="3" t="inlineStr">
        <is>
          <t>Weight perturbation ||removed|| / ||W||</t>
        </is>
      </c>
      <c r="L1" s="3" t="inlineStr">
        <is>
          <t>Removed weight norm</t>
        </is>
      </c>
      <c r="M1" s="3" t="inlineStr">
        <is>
          <t>t* (epoch)</t>
        </is>
      </c>
      <c r="N1" s="3" t="inlineStr">
        <is>
          <t># trials</t>
        </is>
      </c>
      <c r="O1" s="3" t="inlineStr">
        <is>
          <t>Final val acc at t* (%)</t>
        </is>
      </c>
      <c r="P1" s="3" t="inlineStr">
        <is>
          <t>Final test acc at t* (%)</t>
        </is>
      </c>
      <c r="Q1" s="3" t="inlineStr">
        <is>
          <t>LR budget remaining at t*</t>
        </is>
      </c>
      <c r="R1" s="3" t="inlineStr">
        <is>
          <t>Pred: loss match (train)</t>
        </is>
      </c>
      <c r="S1" s="3" t="inlineStr">
        <is>
          <t>Pred: acc match (val)</t>
        </is>
      </c>
      <c r="T1" s="3" t="inlineStr">
        <is>
          <t>Pred: loss match (val)</t>
        </is>
      </c>
      <c r="U1" s="3" t="inlineStr">
        <is>
          <t>Pred: weight-movement match</t>
        </is>
      </c>
      <c r="V1" s="3" t="inlineStr">
        <is>
          <t>Pred: specialization point</t>
        </is>
      </c>
      <c r="W1" s="3" t="inlineStr">
        <is>
          <t>Retrain epochs (T - t*)</t>
        </is>
      </c>
      <c r="X1" s="3" t="inlineStr">
        <is>
          <t>t*/T</t>
        </is>
      </c>
      <c r="Y1" s="3" t="inlineStr">
        <is>
          <t>Headroom before (pp) = before - target</t>
        </is>
      </c>
      <c r="Z1" s="3" t="inlineStr">
        <is>
          <t>Deficit after (pp) = target - after</t>
        </is>
      </c>
      <c r="AA1" s="3" t="inlineStr">
        <is>
          <t>Sparsity-fit prediction (epoch)</t>
        </is>
      </c>
      <c r="AB1" s="3" t="inlineStr">
        <is>
          <t>Fit error (pred - t*)</t>
        </is>
      </c>
      <c r="AC1" s="3" t="inlineStr">
        <is>
          <t>|Fit error|</t>
        </is>
      </c>
    </row>
    <row r="2">
      <c r="A2" s="4" t="inlineStr">
        <is>
          <t>seed1</t>
        </is>
      </c>
      <c r="B2" s="4" t="n">
        <v>1</v>
      </c>
      <c r="C2" s="5" t="n">
        <v>0.1999992599609259</v>
      </c>
      <c r="D2" s="6" t="n">
        <v>90.62</v>
      </c>
      <c r="E2" s="6" t="n">
        <v>91.12</v>
      </c>
      <c r="F2" s="6" t="n">
        <v>91.16</v>
      </c>
      <c r="G2" s="7" t="n">
        <v>-0.0014980773925781</v>
      </c>
      <c r="H2" s="7" t="n">
        <v>0.0009867176055908</v>
      </c>
      <c r="I2" s="6" t="n">
        <v>-0.039999999999992</v>
      </c>
      <c r="J2" s="6" t="n">
        <v>-0.0100000000000051</v>
      </c>
      <c r="K2" s="7" t="n">
        <v>0.0540219925419192</v>
      </c>
      <c r="L2" s="7" t="n">
        <v>2.837141513824463</v>
      </c>
      <c r="M2" s="4" t="n">
        <v>80</v>
      </c>
      <c r="N2" s="4" t="n">
        <v>0</v>
      </c>
      <c r="O2" s="6" t="n">
        <v>91.16</v>
      </c>
      <c r="P2" s="6" t="n">
        <v>90.48999999999999</v>
      </c>
      <c r="Q2" s="7" t="n">
        <v>0</v>
      </c>
      <c r="R2" s="4" t="n">
        <v>79</v>
      </c>
      <c r="S2" s="4" t="n">
        <v>80</v>
      </c>
      <c r="T2" s="4" t="n">
        <v>80</v>
      </c>
      <c r="U2" s="4" t="n">
        <v>59</v>
      </c>
      <c r="V2" s="4" t="n">
        <v>51</v>
      </c>
      <c r="W2" s="8">
        <f>IF(M2="","",80-M2)</f>
        <v/>
      </c>
      <c r="X2" s="9">
        <f>IF(M2="","",M2/80)</f>
        <v/>
      </c>
      <c r="Y2" s="9">
        <f>E2-D2</f>
        <v/>
      </c>
      <c r="Z2" s="9">
        <f>D2-F2</f>
        <v/>
      </c>
      <c r="AA2" s="10">
        <f>MAX(0,MIN(80,$B$22+$B$23*C2))</f>
        <v/>
      </c>
      <c r="AB2" s="10">
        <f>IF(M2="","",AA2-M2)</f>
        <v/>
      </c>
      <c r="AC2" s="10">
        <f>IF(M2="","",ABS(AB2))</f>
        <v/>
      </c>
    </row>
    <row r="3">
      <c r="A3" s="4" t="inlineStr">
        <is>
          <t>seed1</t>
        </is>
      </c>
      <c r="B3" s="4" t="n">
        <v>2</v>
      </c>
      <c r="C3" s="5" t="n">
        <v>0.3599994079687407</v>
      </c>
      <c r="D3" s="6" t="n">
        <v>90.62</v>
      </c>
      <c r="E3" s="6" t="n">
        <v>91.16</v>
      </c>
      <c r="F3" s="6" t="n">
        <v>90.95999999999999</v>
      </c>
      <c r="G3" s="7" t="n">
        <v>0.0019354675292969</v>
      </c>
      <c r="H3" s="7" t="n">
        <v>0.010433670425415</v>
      </c>
      <c r="I3" s="6" t="n">
        <v>0.2000000000000028</v>
      </c>
      <c r="J3" s="6" t="n">
        <v>0.5200000000000102</v>
      </c>
      <c r="K3" s="7" t="n">
        <v>0.1224095536960314</v>
      </c>
      <c r="L3" s="7" t="n">
        <v>6.419350147247314</v>
      </c>
      <c r="M3" s="4" t="n">
        <v>80</v>
      </c>
      <c r="N3" s="4" t="n">
        <v>0</v>
      </c>
      <c r="O3" s="6" t="n">
        <v>90.95999999999999</v>
      </c>
      <c r="P3" s="6" t="n">
        <v>90.27</v>
      </c>
      <c r="Q3" s="7" t="n">
        <v>0</v>
      </c>
      <c r="R3" s="4" t="n">
        <v>61</v>
      </c>
      <c r="S3" s="4" t="n">
        <v>62</v>
      </c>
      <c r="T3" s="4" t="n">
        <v>61</v>
      </c>
      <c r="U3" s="4" t="n">
        <v>56</v>
      </c>
      <c r="V3" s="4" t="n">
        <v>51</v>
      </c>
      <c r="W3" s="8">
        <f>IF(M3="","",80-M3)</f>
        <v/>
      </c>
      <c r="X3" s="9">
        <f>IF(M3="","",M3/80)</f>
        <v/>
      </c>
      <c r="Y3" s="9">
        <f>E3-D3</f>
        <v/>
      </c>
      <c r="Z3" s="9">
        <f>D3-F3</f>
        <v/>
      </c>
      <c r="AA3" s="10">
        <f>MAX(0,MIN(80,$B$22+$B$23*C3))</f>
        <v/>
      </c>
      <c r="AB3" s="10">
        <f>IF(M3="","",AA3-M3)</f>
        <v/>
      </c>
      <c r="AC3" s="10">
        <f>IF(M3="","",ABS(AB3))</f>
        <v/>
      </c>
    </row>
    <row r="4">
      <c r="A4" s="4" t="inlineStr">
        <is>
          <t>seed1</t>
        </is>
      </c>
      <c r="B4" s="4" t="n">
        <v>3</v>
      </c>
      <c r="C4" s="5" t="n">
        <v>0.4880002664140667</v>
      </c>
      <c r="D4" s="6" t="n">
        <v>90.62</v>
      </c>
      <c r="E4" s="6" t="n">
        <v>90.95999999999999</v>
      </c>
      <c r="F4" s="6" t="n">
        <v>90.16</v>
      </c>
      <c r="G4" s="7" t="n">
        <v>0.0120478454589843</v>
      </c>
      <c r="H4" s="7" t="n">
        <v>0.0222693012237548</v>
      </c>
      <c r="I4" s="6" t="n">
        <v>0.7999999999999972</v>
      </c>
      <c r="J4" s="6" t="n">
        <v>0.7599999999999909</v>
      </c>
      <c r="K4" s="7" t="n">
        <v>0.1728829178192302</v>
      </c>
      <c r="L4" s="7" t="n">
        <v>8.998071670532227</v>
      </c>
      <c r="M4" s="4" t="n">
        <v>78</v>
      </c>
      <c r="N4" s="4" t="n">
        <v>7</v>
      </c>
      <c r="O4" s="6" t="n">
        <v>90.64</v>
      </c>
      <c r="P4" s="6" t="n">
        <v>89.95</v>
      </c>
      <c r="Q4" s="7" t="n">
        <v>0.000473933649289</v>
      </c>
      <c r="R4" s="4" t="n">
        <v>57</v>
      </c>
      <c r="S4" s="4" t="n">
        <v>41</v>
      </c>
      <c r="T4" s="4" t="n">
        <v>40</v>
      </c>
      <c r="U4" s="4" t="n">
        <v>54</v>
      </c>
      <c r="V4" s="4" t="n">
        <v>51</v>
      </c>
      <c r="W4" s="8">
        <f>IF(M4="","",80-M4)</f>
        <v/>
      </c>
      <c r="X4" s="9">
        <f>IF(M4="","",M4/80)</f>
        <v/>
      </c>
      <c r="Y4" s="9">
        <f>E4-D4</f>
        <v/>
      </c>
      <c r="Z4" s="9">
        <f>D4-F4</f>
        <v/>
      </c>
      <c r="AA4" s="10">
        <f>MAX(0,MIN(80,$B$22+$B$23*C4))</f>
        <v/>
      </c>
      <c r="AB4" s="10">
        <f>IF(M4="","",AA4-M4)</f>
        <v/>
      </c>
      <c r="AC4" s="10">
        <f>IF(M4="","",ABS(AB4))</f>
        <v/>
      </c>
    </row>
    <row r="5">
      <c r="A5" s="4" t="inlineStr">
        <is>
          <t>seed1</t>
        </is>
      </c>
      <c r="B5" s="4" t="n">
        <v>4</v>
      </c>
      <c r="C5" s="5" t="n">
        <v>0.5903994730921793</v>
      </c>
      <c r="D5" s="6" t="n">
        <v>90.62</v>
      </c>
      <c r="E5" s="6" t="n">
        <v>90.64</v>
      </c>
      <c r="F5" s="6" t="n">
        <v>89.73999999999999</v>
      </c>
      <c r="G5" s="7" t="n">
        <v>0.0257566528320312</v>
      </c>
      <c r="H5" s="7" t="n">
        <v>0.0362086349487304</v>
      </c>
      <c r="I5" s="6" t="n">
        <v>0.9000000000000057</v>
      </c>
      <c r="J5" s="6" t="n">
        <v>1.27000000000001</v>
      </c>
      <c r="K5" s="7" t="n">
        <v>0.2097172962919583</v>
      </c>
      <c r="L5" s="7" t="n">
        <v>10.75092506408691</v>
      </c>
      <c r="M5" s="4" t="n">
        <v>62</v>
      </c>
      <c r="N5" s="4" t="n">
        <v>7</v>
      </c>
      <c r="O5" s="6" t="n">
        <v>90.73999999999999</v>
      </c>
      <c r="P5" s="6" t="n">
        <v>89.98</v>
      </c>
      <c r="Q5" s="7" t="n">
        <v>0.0042654028436018</v>
      </c>
      <c r="R5" s="4" t="n">
        <v>51</v>
      </c>
      <c r="S5" s="4" t="n">
        <v>41</v>
      </c>
      <c r="T5" s="4" t="n">
        <v>40</v>
      </c>
      <c r="U5" s="4" t="n">
        <v>53</v>
      </c>
      <c r="V5" s="4" t="n">
        <v>51</v>
      </c>
      <c r="W5" s="8">
        <f>IF(M5="","",80-M5)</f>
        <v/>
      </c>
      <c r="X5" s="9">
        <f>IF(M5="","",M5/80)</f>
        <v/>
      </c>
      <c r="Y5" s="9">
        <f>E5-D5</f>
        <v/>
      </c>
      <c r="Z5" s="9">
        <f>D5-F5</f>
        <v/>
      </c>
      <c r="AA5" s="10">
        <f>MAX(0,MIN(80,$B$22+$B$23*C5))</f>
        <v/>
      </c>
      <c r="AB5" s="10">
        <f>IF(M5="","",AA5-M5)</f>
        <v/>
      </c>
      <c r="AC5" s="10">
        <f>IF(M5="","",ABS(AB5))</f>
        <v/>
      </c>
    </row>
    <row r="6">
      <c r="A6" s="4" t="inlineStr">
        <is>
          <t>seed1</t>
        </is>
      </c>
      <c r="B6" s="4" t="n">
        <v>5</v>
      </c>
      <c r="C6" s="5" t="n">
        <v>0.6723180983955953</v>
      </c>
      <c r="D6" s="6" t="n">
        <v>90.62</v>
      </c>
      <c r="E6" s="6" t="n">
        <v>90.73999999999999</v>
      </c>
      <c r="F6" s="6" t="n">
        <v>89.64</v>
      </c>
      <c r="G6" s="7" t="n">
        <v>0.0288620361328124</v>
      </c>
      <c r="H6" s="7" t="n">
        <v>0.0451663906097412</v>
      </c>
      <c r="I6" s="6" t="n">
        <v>1.099999999999994</v>
      </c>
      <c r="J6" s="6" t="n">
        <v>1.780000000000001</v>
      </c>
      <c r="K6" s="7" t="n">
        <v>0.23690382342698</v>
      </c>
      <c r="L6" s="7" t="n">
        <v>11.87421131134033</v>
      </c>
      <c r="M6" s="4" t="n">
        <v>34</v>
      </c>
      <c r="N6" s="4" t="n">
        <v>7</v>
      </c>
      <c r="O6" s="6" t="n">
        <v>91.40000000000001</v>
      </c>
      <c r="P6" s="6" t="n">
        <v>90.16</v>
      </c>
      <c r="Q6" s="7" t="n">
        <v>0.1943127962085307</v>
      </c>
      <c r="R6" s="4" t="n">
        <v>48</v>
      </c>
      <c r="S6" s="4" t="n">
        <v>41</v>
      </c>
      <c r="T6" s="4" t="n">
        <v>40</v>
      </c>
      <c r="U6" s="4" t="n">
        <v>52</v>
      </c>
      <c r="V6" s="4" t="n">
        <v>51</v>
      </c>
      <c r="W6" s="8">
        <f>IF(M6="","",80-M6)</f>
        <v/>
      </c>
      <c r="X6" s="9">
        <f>IF(M6="","",M6/80)</f>
        <v/>
      </c>
      <c r="Y6" s="9">
        <f>E6-D6</f>
        <v/>
      </c>
      <c r="Z6" s="9">
        <f>D6-F6</f>
        <v/>
      </c>
      <c r="AA6" s="10">
        <f>MAX(0,MIN(80,$B$22+$B$23*C6))</f>
        <v/>
      </c>
      <c r="AB6" s="10">
        <f>IF(M6="","",AA6-M6)</f>
        <v/>
      </c>
      <c r="AC6" s="10">
        <f>IF(M6="","",ABS(AB6))</f>
        <v/>
      </c>
    </row>
    <row r="7">
      <c r="A7" s="4" t="inlineStr">
        <is>
          <t>seed1</t>
        </is>
      </c>
      <c r="B7" s="4" t="n">
        <v>6</v>
      </c>
      <c r="C7" s="5" t="n">
        <v>0.7378559587946243</v>
      </c>
      <c r="D7" s="6" t="n">
        <v>90.62</v>
      </c>
      <c r="E7" s="6" t="n">
        <v>91.40000000000001</v>
      </c>
      <c r="F7" s="6" t="n">
        <v>90.90000000000001</v>
      </c>
      <c r="G7" s="7" t="n">
        <v>0.0218709228515625</v>
      </c>
      <c r="H7" s="7" t="n">
        <v>0.0237625232696533</v>
      </c>
      <c r="I7" s="6" t="n">
        <v>0.5</v>
      </c>
      <c r="J7" s="6" t="n">
        <v>0.8299999999999983</v>
      </c>
      <c r="K7" s="7" t="n">
        <v>0.1507980974440182</v>
      </c>
      <c r="L7" s="7" t="n">
        <v>7.030984878540039</v>
      </c>
      <c r="M7" s="4" t="n">
        <v>80</v>
      </c>
      <c r="N7" s="4" t="n">
        <v>0</v>
      </c>
      <c r="O7" s="6" t="n">
        <v>90.90000000000001</v>
      </c>
      <c r="P7" s="6" t="n">
        <v>89.12</v>
      </c>
      <c r="Q7" s="7" t="n">
        <v>0</v>
      </c>
      <c r="R7" s="4" t="n">
        <v>57</v>
      </c>
      <c r="S7" s="4" t="n">
        <v>60</v>
      </c>
      <c r="T7" s="4" t="n">
        <v>40</v>
      </c>
      <c r="U7" s="4" t="n">
        <v>56</v>
      </c>
      <c r="V7" s="4" t="n">
        <v>51</v>
      </c>
      <c r="W7" s="8">
        <f>IF(M7="","",80-M7)</f>
        <v/>
      </c>
      <c r="X7" s="9">
        <f>IF(M7="","",M7/80)</f>
        <v/>
      </c>
      <c r="Y7" s="9">
        <f>E7-D7</f>
        <v/>
      </c>
      <c r="Z7" s="9">
        <f>D7-F7</f>
        <v/>
      </c>
      <c r="AA7" s="10">
        <f>MAX(0,MIN(80,$B$22+$B$23*C7))</f>
        <v/>
      </c>
      <c r="AB7" s="10">
        <f>IF(M7="","",AA7-M7)</f>
        <v/>
      </c>
      <c r="AC7" s="10">
        <f>IF(M7="","",ABS(AB7))</f>
        <v/>
      </c>
    </row>
    <row r="8">
      <c r="A8" s="4" t="inlineStr">
        <is>
          <t>seed1</t>
        </is>
      </c>
      <c r="B8" s="4" t="n">
        <v>7</v>
      </c>
      <c r="C8" s="5" t="n">
        <v>0.7902840269966254</v>
      </c>
      <c r="D8" s="6" t="n">
        <v>90.62</v>
      </c>
      <c r="E8" s="6" t="n">
        <v>90.90000000000001</v>
      </c>
      <c r="F8" s="6" t="n">
        <v>88.68000000000001</v>
      </c>
      <c r="G8" s="7" t="n">
        <v>0.0544236389160156</v>
      </c>
      <c r="H8" s="7" t="n">
        <v>0.0823951072692871</v>
      </c>
      <c r="I8" s="6" t="n">
        <v>2.219999999999999</v>
      </c>
      <c r="J8" s="6" t="n">
        <v>3.049999999999997</v>
      </c>
      <c r="K8" s="7" t="n">
        <v>0.2388618355975004</v>
      </c>
      <c r="L8" s="7" t="n">
        <v>11.00961494445801</v>
      </c>
      <c r="M8" s="4" t="n">
        <v>38</v>
      </c>
      <c r="N8" s="4" t="n">
        <v>7</v>
      </c>
      <c r="O8" s="6" t="n">
        <v>90.73999999999999</v>
      </c>
      <c r="P8" s="6" t="n">
        <v>89.67</v>
      </c>
      <c r="Q8" s="7" t="n">
        <v>0.0995260663507109</v>
      </c>
      <c r="R8" s="4" t="n">
        <v>41</v>
      </c>
      <c r="S8" s="4" t="n">
        <v>40</v>
      </c>
      <c r="T8" s="4" t="n">
        <v>40</v>
      </c>
      <c r="U8" s="4" t="n">
        <v>53</v>
      </c>
      <c r="V8" s="4" t="n">
        <v>51</v>
      </c>
      <c r="W8" s="8">
        <f>IF(M8="","",80-M8)</f>
        <v/>
      </c>
      <c r="X8" s="9">
        <f>IF(M8="","",M8/80)</f>
        <v/>
      </c>
      <c r="Y8" s="9">
        <f>E8-D8</f>
        <v/>
      </c>
      <c r="Z8" s="9">
        <f>D8-F8</f>
        <v/>
      </c>
      <c r="AA8" s="10">
        <f>MAX(0,MIN(80,$B$22+$B$23*C8))</f>
        <v/>
      </c>
      <c r="AB8" s="10">
        <f>IF(M8="","",AA8-M8)</f>
        <v/>
      </c>
      <c r="AC8" s="10">
        <f>IF(M8="","",ABS(AB8))</f>
        <v/>
      </c>
    </row>
    <row r="9">
      <c r="A9" s="11" t="inlineStr">
        <is>
          <t>seed1</t>
        </is>
      </c>
      <c r="B9" s="11" t="n">
        <v>8</v>
      </c>
      <c r="C9" s="12" t="n">
        <v>0.8322257415191522</v>
      </c>
      <c r="D9" s="13" t="n">
        <v>90.62</v>
      </c>
      <c r="E9" s="13" t="n">
        <v>90.73999999999999</v>
      </c>
      <c r="F9" s="13" t="n">
        <v>88.92</v>
      </c>
      <c r="G9" s="14" t="n">
        <v>0.053692138671875</v>
      </c>
      <c r="H9" s="14" t="n">
        <v>0.0615744094848633</v>
      </c>
      <c r="I9" s="13" t="n">
        <v>1.819999999999993</v>
      </c>
      <c r="J9" s="13" t="n">
        <v>2.390000000000001</v>
      </c>
      <c r="K9" s="14" t="n">
        <v>0.2022368911407314</v>
      </c>
      <c r="L9" s="14" t="n">
        <v>8.829082489013672</v>
      </c>
      <c r="M9" s="11" t="n"/>
      <c r="N9" s="11" t="n">
        <v>1</v>
      </c>
      <c r="O9" s="13" t="n"/>
      <c r="P9" s="13" t="n"/>
      <c r="Q9" s="14" t="n"/>
      <c r="R9" s="11" t="n">
        <v>44</v>
      </c>
      <c r="S9" s="11" t="n">
        <v>40</v>
      </c>
      <c r="T9" s="11" t="n">
        <v>40</v>
      </c>
      <c r="U9" s="11" t="n">
        <v>54</v>
      </c>
      <c r="V9" s="11" t="n">
        <v>51</v>
      </c>
      <c r="W9" s="15">
        <f>IF(M9="","",80-M9)</f>
        <v/>
      </c>
      <c r="X9" s="16">
        <f>IF(M9="","",M9/80)</f>
        <v/>
      </c>
      <c r="Y9" s="16">
        <f>E9-D9</f>
        <v/>
      </c>
      <c r="Z9" s="16">
        <f>D9-F9</f>
        <v/>
      </c>
      <c r="AA9" s="17">
        <f>MAX(0,MIN(80,$B$22+$B$23*C9))</f>
        <v/>
      </c>
      <c r="AB9" s="17">
        <f>IF(M9="","",AA9-M9)</f>
        <v/>
      </c>
      <c r="AC9" s="17">
        <f>IF(M9="","",ABS(AB9))</f>
        <v/>
      </c>
    </row>
    <row r="10">
      <c r="A10" s="4" t="inlineStr">
        <is>
          <t>seed2</t>
        </is>
      </c>
      <c r="B10" s="4" t="n">
        <v>1</v>
      </c>
      <c r="C10" s="5" t="n">
        <v>0.1999992599609259</v>
      </c>
      <c r="D10" s="6" t="n">
        <v>90.54000000000001</v>
      </c>
      <c r="E10" s="6" t="n">
        <v>91.04000000000001</v>
      </c>
      <c r="F10" s="6" t="n">
        <v>91.06</v>
      </c>
      <c r="G10" s="7" t="n">
        <v>-0.0018642150878906</v>
      </c>
      <c r="H10" s="7" t="n">
        <v>-0.0004350189208984</v>
      </c>
      <c r="I10" s="6" t="n">
        <v>-0.019999999999996</v>
      </c>
      <c r="J10" s="6" t="n">
        <v>-0.0100000000000051</v>
      </c>
      <c r="K10" s="7" t="n">
        <v>0.0548912060244348</v>
      </c>
      <c r="L10" s="7" t="n">
        <v>2.908577680587769</v>
      </c>
      <c r="M10" s="4" t="n">
        <v>80</v>
      </c>
      <c r="N10" s="4" t="n">
        <v>0</v>
      </c>
      <c r="O10" s="6" t="n">
        <v>91.06</v>
      </c>
      <c r="P10" s="6" t="n">
        <v>89.97</v>
      </c>
      <c r="Q10" s="7" t="n">
        <v>0</v>
      </c>
      <c r="R10" s="4" t="n">
        <v>80</v>
      </c>
      <c r="S10" s="4" t="n">
        <v>80</v>
      </c>
      <c r="T10" s="4" t="n">
        <v>80</v>
      </c>
      <c r="U10" s="4" t="n">
        <v>59</v>
      </c>
      <c r="V10" s="4" t="n">
        <v>48</v>
      </c>
      <c r="W10" s="8">
        <f>IF(M10="","",80-M10)</f>
        <v/>
      </c>
      <c r="X10" s="9">
        <f>IF(M10="","",M10/80)</f>
        <v/>
      </c>
      <c r="Y10" s="9">
        <f>E10-D10</f>
        <v/>
      </c>
      <c r="Z10" s="9">
        <f>D10-F10</f>
        <v/>
      </c>
      <c r="AA10" s="10">
        <f>MAX(0,MIN(80,$B$22+$B$23*C10))</f>
        <v/>
      </c>
      <c r="AB10" s="10">
        <f>IF(M10="","",AA10-M10)</f>
        <v/>
      </c>
      <c r="AC10" s="10">
        <f>IF(M10="","",ABS(AB10))</f>
        <v/>
      </c>
    </row>
    <row r="11">
      <c r="A11" s="4" t="inlineStr">
        <is>
          <t>seed2</t>
        </is>
      </c>
      <c r="B11" s="4" t="n">
        <v>2</v>
      </c>
      <c r="C11" s="5" t="n">
        <v>0.3599994079687407</v>
      </c>
      <c r="D11" s="6" t="n">
        <v>90.54000000000001</v>
      </c>
      <c r="E11" s="6" t="n">
        <v>91.06</v>
      </c>
      <c r="F11" s="6" t="n">
        <v>90.95999999999999</v>
      </c>
      <c r="G11" s="7" t="n">
        <v>0.0049047607421874</v>
      </c>
      <c r="H11" s="7" t="n">
        <v>0.0082125244140624</v>
      </c>
      <c r="I11" s="6" t="n">
        <v>0.1000000000000085</v>
      </c>
      <c r="J11" s="6" t="n">
        <v>0.269999999999996</v>
      </c>
      <c r="K11" s="7" t="n">
        <v>0.1244815263012024</v>
      </c>
      <c r="L11" s="7" t="n">
        <v>6.586088180541992</v>
      </c>
      <c r="M11" s="4" t="n">
        <v>80</v>
      </c>
      <c r="N11" s="4" t="n">
        <v>0</v>
      </c>
      <c r="O11" s="6" t="n">
        <v>90.95999999999999</v>
      </c>
      <c r="P11" s="6" t="n">
        <v>89.97</v>
      </c>
      <c r="Q11" s="7" t="n">
        <v>0</v>
      </c>
      <c r="R11" s="4" t="n">
        <v>60</v>
      </c>
      <c r="S11" s="4" t="n">
        <v>64</v>
      </c>
      <c r="T11" s="4" t="n">
        <v>40</v>
      </c>
      <c r="U11" s="4" t="n">
        <v>56</v>
      </c>
      <c r="V11" s="4" t="n">
        <v>48</v>
      </c>
      <c r="W11" s="8">
        <f>IF(M11="","",80-M11)</f>
        <v/>
      </c>
      <c r="X11" s="9">
        <f>IF(M11="","",M11/80)</f>
        <v/>
      </c>
      <c r="Y11" s="9">
        <f>E11-D11</f>
        <v/>
      </c>
      <c r="Z11" s="9">
        <f>D11-F11</f>
        <v/>
      </c>
      <c r="AA11" s="10">
        <f>MAX(0,MIN(80,$B$22+$B$23*C11))</f>
        <v/>
      </c>
      <c r="AB11" s="10">
        <f>IF(M11="","",AA11-M11)</f>
        <v/>
      </c>
      <c r="AC11" s="10">
        <f>IF(M11="","",ABS(AB11))</f>
        <v/>
      </c>
    </row>
    <row r="12">
      <c r="A12" s="4" t="inlineStr">
        <is>
          <t>seed2</t>
        </is>
      </c>
      <c r="B12" s="4" t="n">
        <v>3</v>
      </c>
      <c r="C12" s="5" t="n">
        <v>0.4880002664140667</v>
      </c>
      <c r="D12" s="6" t="n">
        <v>90.54000000000001</v>
      </c>
      <c r="E12" s="6" t="n">
        <v>90.95999999999999</v>
      </c>
      <c r="F12" s="6" t="n">
        <v>90.16</v>
      </c>
      <c r="G12" s="7" t="n">
        <v>0.0085521362304687</v>
      </c>
      <c r="H12" s="7" t="n">
        <v>0.018482844543457</v>
      </c>
      <c r="I12" s="6" t="n">
        <v>0.7999999999999972</v>
      </c>
      <c r="J12" s="6" t="n">
        <v>0.7000000000000028</v>
      </c>
      <c r="K12" s="7" t="n">
        <v>0.1753816413508324</v>
      </c>
      <c r="L12" s="7" t="n">
        <v>9.206945419311523</v>
      </c>
      <c r="M12" s="4" t="n">
        <v>78</v>
      </c>
      <c r="N12" s="4" t="n">
        <v>7</v>
      </c>
      <c r="O12" s="6" t="n">
        <v>90.66</v>
      </c>
      <c r="P12" s="6" t="n">
        <v>89.67</v>
      </c>
      <c r="Q12" s="7" t="n">
        <v>0.000473933649289</v>
      </c>
      <c r="R12" s="4" t="n">
        <v>57</v>
      </c>
      <c r="S12" s="4" t="n">
        <v>41</v>
      </c>
      <c r="T12" s="4" t="n">
        <v>40</v>
      </c>
      <c r="U12" s="4" t="n">
        <v>54</v>
      </c>
      <c r="V12" s="4" t="n">
        <v>48</v>
      </c>
      <c r="W12" s="8">
        <f>IF(M12="","",80-M12)</f>
        <v/>
      </c>
      <c r="X12" s="9">
        <f>IF(M12="","",M12/80)</f>
        <v/>
      </c>
      <c r="Y12" s="9">
        <f>E12-D12</f>
        <v/>
      </c>
      <c r="Z12" s="9">
        <f>D12-F12</f>
        <v/>
      </c>
      <c r="AA12" s="10">
        <f>MAX(0,MIN(80,$B$22+$B$23*C12))</f>
        <v/>
      </c>
      <c r="AB12" s="10">
        <f>IF(M12="","",AA12-M12)</f>
        <v/>
      </c>
      <c r="AC12" s="10">
        <f>IF(M12="","",ABS(AB12))</f>
        <v/>
      </c>
    </row>
    <row r="13">
      <c r="A13" s="4" t="inlineStr">
        <is>
          <t>seed2</t>
        </is>
      </c>
      <c r="B13" s="4" t="n">
        <v>4</v>
      </c>
      <c r="C13" s="5" t="n">
        <v>0.5903994730921793</v>
      </c>
      <c r="D13" s="6" t="n">
        <v>90.54000000000001</v>
      </c>
      <c r="E13" s="6" t="n">
        <v>90.66</v>
      </c>
      <c r="F13" s="6" t="n">
        <v>89.54000000000001</v>
      </c>
      <c r="G13" s="7" t="n">
        <v>0.0277896301269531</v>
      </c>
      <c r="H13" s="7" t="n">
        <v>0.0364373439788818</v>
      </c>
      <c r="I13" s="6" t="n">
        <v>1.11999999999999</v>
      </c>
      <c r="J13" s="6" t="n">
        <v>1.420000000000002</v>
      </c>
      <c r="K13" s="7" t="n">
        <v>0.2127916971867225</v>
      </c>
      <c r="L13" s="7" t="n">
        <v>10.99777793884277</v>
      </c>
      <c r="M13" s="4" t="n">
        <v>70</v>
      </c>
      <c r="N13" s="4" t="n">
        <v>6</v>
      </c>
      <c r="O13" s="6" t="n">
        <v>90.54000000000001</v>
      </c>
      <c r="P13" s="6" t="n">
        <v>89.58</v>
      </c>
      <c r="Q13" s="7" t="n">
        <v>0.0023696682464454</v>
      </c>
      <c r="R13" s="4" t="n">
        <v>49</v>
      </c>
      <c r="S13" s="4" t="n">
        <v>40</v>
      </c>
      <c r="T13" s="4" t="n">
        <v>40</v>
      </c>
      <c r="U13" s="4" t="n">
        <v>53</v>
      </c>
      <c r="V13" s="4" t="n">
        <v>48</v>
      </c>
      <c r="W13" s="8">
        <f>IF(M13="","",80-M13)</f>
        <v/>
      </c>
      <c r="X13" s="9">
        <f>IF(M13="","",M13/80)</f>
        <v/>
      </c>
      <c r="Y13" s="9">
        <f>E13-D13</f>
        <v/>
      </c>
      <c r="Z13" s="9">
        <f>D13-F13</f>
        <v/>
      </c>
      <c r="AA13" s="10">
        <f>MAX(0,MIN(80,$B$22+$B$23*C13))</f>
        <v/>
      </c>
      <c r="AB13" s="10">
        <f>IF(M13="","",AA13-M13)</f>
        <v/>
      </c>
      <c r="AC13" s="10">
        <f>IF(M13="","",ABS(AB13))</f>
        <v/>
      </c>
    </row>
    <row r="14">
      <c r="A14" s="4" t="inlineStr">
        <is>
          <t>seed2</t>
        </is>
      </c>
      <c r="B14" s="4" t="n">
        <v>5</v>
      </c>
      <c r="C14" s="5" t="n">
        <v>0.6723180983955953</v>
      </c>
      <c r="D14" s="6" t="n">
        <v>90.54000000000001</v>
      </c>
      <c r="E14" s="6" t="n">
        <v>90.54000000000001</v>
      </c>
      <c r="F14" s="6" t="n">
        <v>89.2</v>
      </c>
      <c r="G14" s="7" t="n">
        <v>0.0361500366210937</v>
      </c>
      <c r="H14" s="7" t="n">
        <v>0.0515983100891113</v>
      </c>
      <c r="I14" s="6" t="n">
        <v>1.340000000000003</v>
      </c>
      <c r="J14" s="6" t="n">
        <v>1.920000000000002</v>
      </c>
      <c r="K14" s="7" t="n">
        <v>0.2406522466780586</v>
      </c>
      <c r="L14" s="7" t="n">
        <v>12.15265846252441</v>
      </c>
      <c r="M14" s="4" t="n">
        <v>55</v>
      </c>
      <c r="N14" s="4" t="n">
        <v>6</v>
      </c>
      <c r="O14" s="6" t="n">
        <v>90.66</v>
      </c>
      <c r="P14" s="6" t="n">
        <v>89.62</v>
      </c>
      <c r="Q14" s="7" t="n">
        <v>0.0165876777251184</v>
      </c>
      <c r="R14" s="4" t="n">
        <v>44</v>
      </c>
      <c r="S14" s="4" t="n">
        <v>40</v>
      </c>
      <c r="T14" s="4" t="n">
        <v>40</v>
      </c>
      <c r="U14" s="4" t="n">
        <v>52</v>
      </c>
      <c r="V14" s="4" t="n">
        <v>48</v>
      </c>
      <c r="W14" s="8">
        <f>IF(M14="","",80-M14)</f>
        <v/>
      </c>
      <c r="X14" s="9">
        <f>IF(M14="","",M14/80)</f>
        <v/>
      </c>
      <c r="Y14" s="9">
        <f>E14-D14</f>
        <v/>
      </c>
      <c r="Z14" s="9">
        <f>D14-F14</f>
        <v/>
      </c>
      <c r="AA14" s="10">
        <f>MAX(0,MIN(80,$B$22+$B$23*C14))</f>
        <v/>
      </c>
      <c r="AB14" s="10">
        <f>IF(M14="","",AA14-M14)</f>
        <v/>
      </c>
      <c r="AC14" s="10">
        <f>IF(M14="","",ABS(AB14))</f>
        <v/>
      </c>
    </row>
    <row r="15">
      <c r="A15" s="4" t="inlineStr">
        <is>
          <t>seed2</t>
        </is>
      </c>
      <c r="B15" s="4" t="n">
        <v>6</v>
      </c>
      <c r="C15" s="5" t="n">
        <v>0.7378559587946243</v>
      </c>
      <c r="D15" s="6" t="n">
        <v>90.54000000000001</v>
      </c>
      <c r="E15" s="6" t="n">
        <v>90.66</v>
      </c>
      <c r="F15" s="6" t="n">
        <v>88.59999999999999</v>
      </c>
      <c r="G15" s="7" t="n">
        <v>0.06368801269531239</v>
      </c>
      <c r="H15" s="7" t="n">
        <v>0.0888575675964355</v>
      </c>
      <c r="I15" s="6" t="n">
        <v>2.060000000000002</v>
      </c>
      <c r="J15" s="6" t="n">
        <v>3.159999999999997</v>
      </c>
      <c r="K15" s="7" t="n">
        <v>0.2551191077066199</v>
      </c>
      <c r="L15" s="7" t="n">
        <v>12.48857879638672</v>
      </c>
      <c r="M15" s="4" t="n">
        <v>53</v>
      </c>
      <c r="N15" s="4" t="n">
        <v>7</v>
      </c>
      <c r="O15" s="6" t="n">
        <v>90.68000000000001</v>
      </c>
      <c r="P15" s="6" t="n">
        <v>89.48</v>
      </c>
      <c r="Q15" s="7" t="n">
        <v>0.0213270142180094</v>
      </c>
      <c r="R15" s="4" t="n">
        <v>40</v>
      </c>
      <c r="S15" s="4" t="n">
        <v>40</v>
      </c>
      <c r="T15" s="4" t="n">
        <v>40</v>
      </c>
      <c r="U15" s="4" t="n">
        <v>51</v>
      </c>
      <c r="V15" s="4" t="n">
        <v>48</v>
      </c>
      <c r="W15" s="8">
        <f>IF(M15="","",80-M15)</f>
        <v/>
      </c>
      <c r="X15" s="9">
        <f>IF(M15="","",M15/80)</f>
        <v/>
      </c>
      <c r="Y15" s="9">
        <f>E15-D15</f>
        <v/>
      </c>
      <c r="Z15" s="9">
        <f>D15-F15</f>
        <v/>
      </c>
      <c r="AA15" s="10">
        <f>MAX(0,MIN(80,$B$22+$B$23*C15))</f>
        <v/>
      </c>
      <c r="AB15" s="10">
        <f>IF(M15="","",AA15-M15)</f>
        <v/>
      </c>
      <c r="AC15" s="10">
        <f>IF(M15="","",ABS(AB15))</f>
        <v/>
      </c>
    </row>
    <row r="16">
      <c r="A16" s="4" t="inlineStr">
        <is>
          <t>seed2</t>
        </is>
      </c>
      <c r="B16" s="4" t="n">
        <v>7</v>
      </c>
      <c r="C16" s="5" t="n">
        <v>0.7902840269966254</v>
      </c>
      <c r="D16" s="6" t="n">
        <v>90.54000000000001</v>
      </c>
      <c r="E16" s="6" t="n">
        <v>90.68000000000001</v>
      </c>
      <c r="F16" s="6" t="n">
        <v>85.52</v>
      </c>
      <c r="G16" s="7" t="n">
        <v>0.132675634765625</v>
      </c>
      <c r="H16" s="7" t="n">
        <v>0.1554834419250488</v>
      </c>
      <c r="I16" s="6" t="n">
        <v>5.160000000000011</v>
      </c>
      <c r="J16" s="6" t="n">
        <v>5.570000000000007</v>
      </c>
      <c r="K16" s="7" t="n">
        <v>0.2666393404015006</v>
      </c>
      <c r="L16" s="7" t="n">
        <v>12.56813335418701</v>
      </c>
      <c r="M16" s="4" t="n">
        <v>43</v>
      </c>
      <c r="N16" s="4" t="n">
        <v>6</v>
      </c>
      <c r="O16" s="6" t="n">
        <v>90.73999999999999</v>
      </c>
      <c r="P16" s="6" t="n">
        <v>89.37</v>
      </c>
      <c r="Q16" s="7" t="n">
        <v>0.0450236966824644</v>
      </c>
      <c r="R16" s="4" t="n">
        <v>40</v>
      </c>
      <c r="S16" s="4" t="n">
        <v>40</v>
      </c>
      <c r="T16" s="4" t="n">
        <v>40</v>
      </c>
      <c r="U16" s="4" t="n">
        <v>51</v>
      </c>
      <c r="V16" s="4" t="n">
        <v>48</v>
      </c>
      <c r="W16" s="8">
        <f>IF(M16="","",80-M16)</f>
        <v/>
      </c>
      <c r="X16" s="9">
        <f>IF(M16="","",M16/80)</f>
        <v/>
      </c>
      <c r="Y16" s="9">
        <f>E16-D16</f>
        <v/>
      </c>
      <c r="Z16" s="9">
        <f>D16-F16</f>
        <v/>
      </c>
      <c r="AA16" s="10">
        <f>MAX(0,MIN(80,$B$22+$B$23*C16))</f>
        <v/>
      </c>
      <c r="AB16" s="10">
        <f>IF(M16="","",AA16-M16)</f>
        <v/>
      </c>
      <c r="AC16" s="10">
        <f>IF(M16="","",ABS(AB16))</f>
        <v/>
      </c>
    </row>
    <row r="17">
      <c r="A17" s="4" t="inlineStr">
        <is>
          <t>seed2</t>
        </is>
      </c>
      <c r="B17" s="4" t="n">
        <v>8</v>
      </c>
      <c r="C17" s="5" t="n">
        <v>0.8322257415191522</v>
      </c>
      <c r="D17" s="6" t="n">
        <v>90.54000000000001</v>
      </c>
      <c r="E17" s="6" t="n">
        <v>90.73999999999999</v>
      </c>
      <c r="F17" s="6" t="n">
        <v>84.73999999999999</v>
      </c>
      <c r="G17" s="7" t="n">
        <v>0.1629719177246093</v>
      </c>
      <c r="H17" s="7" t="n">
        <v>0.2049314399719238</v>
      </c>
      <c r="I17" s="6" t="n">
        <v>6</v>
      </c>
      <c r="J17" s="6" t="n">
        <v>6.670000000000002</v>
      </c>
      <c r="K17" s="7" t="n">
        <v>0.2615568409760958</v>
      </c>
      <c r="L17" s="7" t="n">
        <v>11.79964542388916</v>
      </c>
      <c r="M17" s="4" t="n">
        <v>2</v>
      </c>
      <c r="N17" s="4" t="n">
        <v>6</v>
      </c>
      <c r="O17" s="6" t="n">
        <v>90.54000000000001</v>
      </c>
      <c r="P17" s="6" t="n">
        <v>90.18000000000001</v>
      </c>
      <c r="Q17" s="7" t="n">
        <v>0.9526066350710904</v>
      </c>
      <c r="R17" s="4" t="n">
        <v>40</v>
      </c>
      <c r="S17" s="4" t="n">
        <v>40</v>
      </c>
      <c r="T17" s="4" t="n">
        <v>40</v>
      </c>
      <c r="U17" s="4" t="n">
        <v>52</v>
      </c>
      <c r="V17" s="4" t="n">
        <v>48</v>
      </c>
      <c r="W17" s="8">
        <f>IF(M17="","",80-M17)</f>
        <v/>
      </c>
      <c r="X17" s="9">
        <f>IF(M17="","",M17/80)</f>
        <v/>
      </c>
      <c r="Y17" s="9">
        <f>E17-D17</f>
        <v/>
      </c>
      <c r="Z17" s="9">
        <f>D17-F17</f>
        <v/>
      </c>
      <c r="AA17" s="10">
        <f>MAX(0,MIN(80,$B$22+$B$23*C17))</f>
        <v/>
      </c>
      <c r="AB17" s="10">
        <f>IF(M17="","",AA17-M17)</f>
        <v/>
      </c>
      <c r="AC17" s="10">
        <f>IF(M17="","",ABS(AB17))</f>
        <v/>
      </c>
    </row>
    <row r="18">
      <c r="A18" s="4" t="inlineStr">
        <is>
          <t>seed2</t>
        </is>
      </c>
      <c r="B18" s="4" t="n">
        <v>9</v>
      </c>
      <c r="C18" s="5" t="n">
        <v>0.8657791131371737</v>
      </c>
      <c r="D18" s="6" t="n">
        <v>90.54000000000001</v>
      </c>
      <c r="E18" s="6" t="n">
        <v>90.54000000000001</v>
      </c>
      <c r="F18" s="6" t="n">
        <v>90.22</v>
      </c>
      <c r="G18" s="7" t="n">
        <v>0.0178640197753906</v>
      </c>
      <c r="H18" s="7" t="n">
        <v>0.0201621047973632</v>
      </c>
      <c r="I18" s="6" t="n">
        <v>0.3200000000000074</v>
      </c>
      <c r="J18" s="6" t="n">
        <v>0.9399999999999976</v>
      </c>
      <c r="K18" s="7" t="n">
        <v>0.1173725909467747</v>
      </c>
      <c r="L18" s="7" t="n">
        <v>5.191677093505859</v>
      </c>
      <c r="M18" s="4" t="n">
        <v>26</v>
      </c>
      <c r="N18" s="4" t="n">
        <v>6</v>
      </c>
      <c r="O18" s="6" t="n">
        <v>90.66</v>
      </c>
      <c r="P18" s="6" t="n">
        <v>89.84</v>
      </c>
      <c r="Q18" s="7" t="n">
        <v>0.3838862559241704</v>
      </c>
      <c r="R18" s="4" t="n">
        <v>57</v>
      </c>
      <c r="S18" s="4" t="n">
        <v>60</v>
      </c>
      <c r="T18" s="4" t="n">
        <v>40</v>
      </c>
      <c r="U18" s="4" t="n">
        <v>58</v>
      </c>
      <c r="V18" s="4" t="n">
        <v>48</v>
      </c>
      <c r="W18" s="8">
        <f>IF(M18="","",80-M18)</f>
        <v/>
      </c>
      <c r="X18" s="9">
        <f>IF(M18="","",M18/80)</f>
        <v/>
      </c>
      <c r="Y18" s="9">
        <f>E18-D18</f>
        <v/>
      </c>
      <c r="Z18" s="9">
        <f>D18-F18</f>
        <v/>
      </c>
      <c r="AA18" s="10">
        <f>MAX(0,MIN(80,$B$22+$B$23*C18))</f>
        <v/>
      </c>
      <c r="AB18" s="10">
        <f>IF(M18="","",AA18-M18)</f>
        <v/>
      </c>
      <c r="AC18" s="10">
        <f>IF(M18="","",ABS(AB18))</f>
        <v/>
      </c>
    </row>
    <row r="19">
      <c r="A19" s="4" t="inlineStr">
        <is>
          <t>seed2</t>
        </is>
      </c>
      <c r="B19" s="4" t="n">
        <v>10</v>
      </c>
      <c r="C19" s="5" t="n">
        <v>0.892624030548813</v>
      </c>
      <c r="D19" s="6" t="n">
        <v>90.54000000000001</v>
      </c>
      <c r="E19" s="6" t="n">
        <v>90.66</v>
      </c>
      <c r="F19" s="6" t="n">
        <v>89.18000000000001</v>
      </c>
      <c r="G19" s="7" t="n">
        <v>0.0368331237792968</v>
      </c>
      <c r="H19" s="7" t="n">
        <v>0.0478629722595214</v>
      </c>
      <c r="I19" s="6" t="n">
        <v>1.47999999999999</v>
      </c>
      <c r="J19" s="6" t="n">
        <v>1.790000000000006</v>
      </c>
      <c r="K19" s="7" t="n">
        <v>0.171240959740395</v>
      </c>
      <c r="L19" s="7" t="n">
        <v>7.175956726074219</v>
      </c>
      <c r="M19" s="4" t="n">
        <v>13</v>
      </c>
      <c r="N19" s="4" t="n">
        <v>7</v>
      </c>
      <c r="O19" s="6" t="n">
        <v>90.90000000000001</v>
      </c>
      <c r="P19" s="6" t="n">
        <v>90.16</v>
      </c>
      <c r="Q19" s="7" t="n">
        <v>0.6919431279620853</v>
      </c>
      <c r="R19" s="4" t="n">
        <v>46</v>
      </c>
      <c r="S19" s="4" t="n">
        <v>40</v>
      </c>
      <c r="T19" s="4" t="n">
        <v>40</v>
      </c>
      <c r="U19" s="4" t="n">
        <v>56</v>
      </c>
      <c r="V19" s="4" t="n">
        <v>48</v>
      </c>
      <c r="W19" s="8">
        <f>IF(M19="","",80-M19)</f>
        <v/>
      </c>
      <c r="X19" s="9">
        <f>IF(M19="","",M19/80)</f>
        <v/>
      </c>
      <c r="Y19" s="9">
        <f>E19-D19</f>
        <v/>
      </c>
      <c r="Z19" s="9">
        <f>D19-F19</f>
        <v/>
      </c>
      <c r="AA19" s="10">
        <f>MAX(0,MIN(80,$B$22+$B$23*C19))</f>
        <v/>
      </c>
      <c r="AB19" s="10">
        <f>IF(M19="","",AA19-M19)</f>
        <v/>
      </c>
      <c r="AC19" s="10">
        <f>IF(M19="","",ABS(AB19))</f>
        <v/>
      </c>
    </row>
    <row r="21">
      <c r="A21" s="18" t="inlineStr">
        <is>
          <t>Sparsity fit t* = a + b x sparsity (least squares on the 17 rounds with a t*; edit a / b to try others)</t>
        </is>
      </c>
    </row>
    <row r="22">
      <c r="A22" s="8" t="inlineStr">
        <is>
          <t>Intercept a</t>
        </is>
      </c>
      <c r="B22" s="6" t="n">
        <v>112.19</v>
      </c>
    </row>
    <row r="23">
      <c r="A23" s="8" t="inlineStr">
        <is>
          <t>Slope b</t>
        </is>
      </c>
      <c r="B23" s="6" t="n">
        <v>-93.02</v>
      </c>
    </row>
    <row r="24">
      <c r="A24" s="8" t="inlineStr">
        <is>
          <t>MAE of sparsity fit, in-sample (epochs)</t>
        </is>
      </c>
      <c r="B24" s="9">
        <f>AVERAGE(AC2:AC19)</f>
        <v/>
      </c>
    </row>
    <row r="25">
      <c r="A25" s="8" t="inlineStr">
        <is>
          <t>Pearson r: t* vs sparsity</t>
        </is>
      </c>
      <c r="B25" s="9">
        <f>CORREL(C2:C19,M2:M19)</f>
        <v/>
      </c>
    </row>
    <row r="27">
      <c r="A27" s="19" t="inlineStr">
        <is>
          <t>Blue = values from runs/seedN/imp/rounds.csv; black = formulas. Yellow row = seed1 round 8: chain stopped (even t = 2 failed, 90.28% &lt; 90.62%).</t>
        </is>
      </c>
    </row>
    <row r="28">
      <c r="A28" s="19" t="inlineStr">
        <is>
          <t>Damage columns (D_*) = before - after pruning, after BN recalibration, no retraining. Pred columns = each rule's t, recorded before the search.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3" t="inlineStr">
        <is>
          <t>Seed</t>
        </is>
      </c>
      <c r="B1" s="3" t="inlineStr">
        <is>
          <t>Round</t>
        </is>
      </c>
      <c r="C1" s="3" t="inlineStr">
        <is>
          <t>Rewind epoch t</t>
        </is>
      </c>
      <c r="D1" s="3" t="inlineStr">
        <is>
          <t>Retrain epochs</t>
        </is>
      </c>
      <c r="E1" s="3" t="inlineStr">
        <is>
          <t>Final val acc (%)</t>
        </is>
      </c>
      <c r="F1" s="3" t="inlineStr">
        <is>
          <t>Final test acc (%)</t>
        </is>
      </c>
      <c r="G1" s="3" t="inlineStr">
        <is>
          <t>Final train acc (%)</t>
        </is>
      </c>
      <c r="H1" s="3" t="inlineStr">
        <is>
          <t>Target (%)</t>
        </is>
      </c>
      <c r="I1" s="3" t="inlineStr">
        <is>
          <t>Recovered (1/0)</t>
        </is>
      </c>
      <c r="J1" s="3" t="inlineStr">
        <is>
          <t>Margin vs target (pp)</t>
        </is>
      </c>
    </row>
    <row r="2">
      <c r="A2" s="4" t="inlineStr">
        <is>
          <t>seed1</t>
        </is>
      </c>
      <c r="B2" s="4" t="n">
        <v>3</v>
      </c>
      <c r="C2" s="4" t="n">
        <v>2</v>
      </c>
      <c r="D2" s="4" t="n">
        <v>78</v>
      </c>
      <c r="E2" s="4" t="n">
        <v>91.23999999999999</v>
      </c>
      <c r="F2" s="4" t="n">
        <v>90.69</v>
      </c>
      <c r="G2" s="4" t="n">
        <v>98.62</v>
      </c>
      <c r="H2" s="4" t="n">
        <v>90.62</v>
      </c>
      <c r="I2" s="4" t="n">
        <v>1</v>
      </c>
      <c r="J2" s="9">
        <f>E2-H2</f>
        <v/>
      </c>
    </row>
    <row r="3">
      <c r="A3" s="4" t="inlineStr">
        <is>
          <t>seed1</t>
        </is>
      </c>
      <c r="B3" s="4" t="n">
        <v>3</v>
      </c>
      <c r="C3" s="4" t="n">
        <v>41</v>
      </c>
      <c r="D3" s="4" t="n">
        <v>39</v>
      </c>
      <c r="E3" s="4" t="n">
        <v>91.02</v>
      </c>
      <c r="F3" s="4" t="n">
        <v>90.18000000000001</v>
      </c>
      <c r="G3" s="4" t="n">
        <v>98.19</v>
      </c>
      <c r="H3" s="4" t="n">
        <v>90.62</v>
      </c>
      <c r="I3" s="4" t="n">
        <v>1</v>
      </c>
      <c r="J3" s="9">
        <f>E3-H3</f>
        <v/>
      </c>
    </row>
    <row r="4">
      <c r="A4" s="4" t="inlineStr">
        <is>
          <t>seed1</t>
        </is>
      </c>
      <c r="B4" s="4" t="n">
        <v>3</v>
      </c>
      <c r="C4" s="4" t="n">
        <v>60</v>
      </c>
      <c r="D4" s="4" t="n">
        <v>20</v>
      </c>
      <c r="E4" s="4" t="n">
        <v>91.04000000000001</v>
      </c>
      <c r="F4" s="4" t="n">
        <v>90.18000000000001</v>
      </c>
      <c r="G4" s="4" t="n">
        <v>97.79000000000001</v>
      </c>
      <c r="H4" s="4" t="n">
        <v>90.62</v>
      </c>
      <c r="I4" s="4" t="n">
        <v>1</v>
      </c>
      <c r="J4" s="9">
        <f>E4-H4</f>
        <v/>
      </c>
    </row>
    <row r="5">
      <c r="A5" s="4" t="inlineStr">
        <is>
          <t>seed1</t>
        </is>
      </c>
      <c r="B5" s="4" t="n">
        <v>3</v>
      </c>
      <c r="C5" s="4" t="n">
        <v>70</v>
      </c>
      <c r="D5" s="4" t="n">
        <v>10</v>
      </c>
      <c r="E5" s="4" t="n">
        <v>90.94</v>
      </c>
      <c r="F5" s="4" t="n">
        <v>90.09</v>
      </c>
      <c r="G5" s="4" t="n">
        <v>97.76000000000001</v>
      </c>
      <c r="H5" s="4" t="n">
        <v>90.62</v>
      </c>
      <c r="I5" s="4" t="n">
        <v>1</v>
      </c>
      <c r="J5" s="9">
        <f>E5-H5</f>
        <v/>
      </c>
    </row>
    <row r="6">
      <c r="A6" s="4" t="inlineStr">
        <is>
          <t>seed1</t>
        </is>
      </c>
      <c r="B6" s="4" t="n">
        <v>3</v>
      </c>
      <c r="C6" s="4" t="n">
        <v>75</v>
      </c>
      <c r="D6" s="4" t="n">
        <v>5</v>
      </c>
      <c r="E6" s="4" t="n">
        <v>90.84</v>
      </c>
      <c r="F6" s="4" t="n">
        <v>90.01000000000001</v>
      </c>
      <c r="G6" s="4" t="n">
        <v>97.62</v>
      </c>
      <c r="H6" s="4" t="n">
        <v>90.62</v>
      </c>
      <c r="I6" s="4" t="n">
        <v>1</v>
      </c>
      <c r="J6" s="9">
        <f>E6-H6</f>
        <v/>
      </c>
    </row>
    <row r="7">
      <c r="A7" s="4" t="inlineStr">
        <is>
          <t>seed1</t>
        </is>
      </c>
      <c r="B7" s="4" t="n">
        <v>3</v>
      </c>
      <c r="C7" s="4" t="n">
        <v>77</v>
      </c>
      <c r="D7" s="4" t="n">
        <v>3</v>
      </c>
      <c r="E7" s="4" t="n">
        <v>90.73999999999999</v>
      </c>
      <c r="F7" s="4" t="n">
        <v>89.94</v>
      </c>
      <c r="G7" s="4" t="n">
        <v>97.59999999999999</v>
      </c>
      <c r="H7" s="4" t="n">
        <v>90.62</v>
      </c>
      <c r="I7" s="4" t="n">
        <v>1</v>
      </c>
      <c r="J7" s="9">
        <f>E7-H7</f>
        <v/>
      </c>
    </row>
    <row r="8">
      <c r="A8" s="4" t="inlineStr">
        <is>
          <t>seed1</t>
        </is>
      </c>
      <c r="B8" s="4" t="n">
        <v>3</v>
      </c>
      <c r="C8" s="4" t="n">
        <v>78</v>
      </c>
      <c r="D8" s="4" t="n">
        <v>2</v>
      </c>
      <c r="E8" s="4" t="n">
        <v>90.64</v>
      </c>
      <c r="F8" s="4" t="n">
        <v>89.95</v>
      </c>
      <c r="G8" s="4" t="n">
        <v>97.54000000000001</v>
      </c>
      <c r="H8" s="4" t="n">
        <v>90.62</v>
      </c>
      <c r="I8" s="4" t="n">
        <v>1</v>
      </c>
      <c r="J8" s="9">
        <f>E8-H8</f>
        <v/>
      </c>
    </row>
    <row r="9">
      <c r="A9" s="4" t="inlineStr">
        <is>
          <t>seed1</t>
        </is>
      </c>
      <c r="B9" s="4" t="n">
        <v>4</v>
      </c>
      <c r="C9" s="4" t="n">
        <v>2</v>
      </c>
      <c r="D9" s="4" t="n">
        <v>78</v>
      </c>
      <c r="E9" s="4" t="n">
        <v>91.64</v>
      </c>
      <c r="F9" s="4" t="n">
        <v>91.14</v>
      </c>
      <c r="G9" s="4" t="n">
        <v>98.48</v>
      </c>
      <c r="H9" s="4" t="n">
        <v>90.62</v>
      </c>
      <c r="I9" s="4" t="n">
        <v>1</v>
      </c>
      <c r="J9" s="9">
        <f>E9-H9</f>
        <v/>
      </c>
    </row>
    <row r="10">
      <c r="A10" s="4" t="inlineStr">
        <is>
          <t>seed1</t>
        </is>
      </c>
      <c r="B10" s="4" t="n">
        <v>4</v>
      </c>
      <c r="C10" s="4" t="n">
        <v>41</v>
      </c>
      <c r="D10" s="4" t="n">
        <v>39</v>
      </c>
      <c r="E10" s="4" t="n">
        <v>90.7</v>
      </c>
      <c r="F10" s="4" t="n">
        <v>90</v>
      </c>
      <c r="G10" s="4" t="n">
        <v>97.91</v>
      </c>
      <c r="H10" s="4" t="n">
        <v>90.62</v>
      </c>
      <c r="I10" s="4" t="n">
        <v>1</v>
      </c>
      <c r="J10" s="9">
        <f>E10-H10</f>
        <v/>
      </c>
    </row>
    <row r="11">
      <c r="A11" s="4" t="inlineStr">
        <is>
          <t>seed1</t>
        </is>
      </c>
      <c r="B11" s="4" t="n">
        <v>4</v>
      </c>
      <c r="C11" s="4" t="n">
        <v>60</v>
      </c>
      <c r="D11" s="4" t="n">
        <v>20</v>
      </c>
      <c r="E11" s="4" t="n">
        <v>90.64</v>
      </c>
      <c r="F11" s="4" t="n">
        <v>90.03</v>
      </c>
      <c r="G11" s="4" t="n">
        <v>97.34</v>
      </c>
      <c r="H11" s="4" t="n">
        <v>90.62</v>
      </c>
      <c r="I11" s="4" t="n">
        <v>1</v>
      </c>
      <c r="J11" s="9">
        <f>E11-H11</f>
        <v/>
      </c>
    </row>
    <row r="12">
      <c r="A12" s="4" t="inlineStr">
        <is>
          <t>seed1</t>
        </is>
      </c>
      <c r="B12" s="4" t="n">
        <v>4</v>
      </c>
      <c r="C12" s="4" t="n">
        <v>62</v>
      </c>
      <c r="D12" s="4" t="n">
        <v>18</v>
      </c>
      <c r="E12" s="4" t="n">
        <v>90.73999999999999</v>
      </c>
      <c r="F12" s="4" t="n">
        <v>89.98</v>
      </c>
      <c r="G12" s="4" t="n">
        <v>97.37</v>
      </c>
      <c r="H12" s="4" t="n">
        <v>90.62</v>
      </c>
      <c r="I12" s="4" t="n">
        <v>1</v>
      </c>
      <c r="J12" s="9">
        <f>E12-H12</f>
        <v/>
      </c>
    </row>
    <row r="13">
      <c r="A13" s="4" t="inlineStr">
        <is>
          <t>seed1</t>
        </is>
      </c>
      <c r="B13" s="4" t="n">
        <v>4</v>
      </c>
      <c r="C13" s="4" t="n">
        <v>63</v>
      </c>
      <c r="D13" s="4" t="n">
        <v>17</v>
      </c>
      <c r="E13" s="4" t="n">
        <v>90.42</v>
      </c>
      <c r="F13" s="4" t="n">
        <v>90.05</v>
      </c>
      <c r="G13" s="4" t="n">
        <v>97.27</v>
      </c>
      <c r="H13" s="4" t="n">
        <v>90.62</v>
      </c>
      <c r="I13" s="4" t="n">
        <v>0</v>
      </c>
      <c r="J13" s="9">
        <f>E13-H13</f>
        <v/>
      </c>
    </row>
    <row r="14">
      <c r="A14" s="4" t="inlineStr">
        <is>
          <t>seed1</t>
        </is>
      </c>
      <c r="B14" s="4" t="n">
        <v>4</v>
      </c>
      <c r="C14" s="4" t="n">
        <v>65</v>
      </c>
      <c r="D14" s="4" t="n">
        <v>15</v>
      </c>
      <c r="E14" s="4" t="n">
        <v>90.48</v>
      </c>
      <c r="F14" s="4" t="n">
        <v>89.98999999999999</v>
      </c>
      <c r="G14" s="4" t="n">
        <v>97.23999999999999</v>
      </c>
      <c r="H14" s="4" t="n">
        <v>90.62</v>
      </c>
      <c r="I14" s="4" t="n">
        <v>0</v>
      </c>
      <c r="J14" s="9">
        <f>E14-H14</f>
        <v/>
      </c>
    </row>
    <row r="15">
      <c r="A15" s="4" t="inlineStr">
        <is>
          <t>seed1</t>
        </is>
      </c>
      <c r="B15" s="4" t="n">
        <v>4</v>
      </c>
      <c r="C15" s="4" t="n">
        <v>70</v>
      </c>
      <c r="D15" s="4" t="n">
        <v>10</v>
      </c>
      <c r="E15" s="4" t="n">
        <v>90.40000000000001</v>
      </c>
      <c r="F15" s="4" t="n">
        <v>89.89</v>
      </c>
      <c r="G15" s="4" t="n">
        <v>97.2</v>
      </c>
      <c r="H15" s="4" t="n">
        <v>90.62</v>
      </c>
      <c r="I15" s="4" t="n">
        <v>0</v>
      </c>
      <c r="J15" s="9">
        <f>E15-H15</f>
        <v/>
      </c>
    </row>
    <row r="16">
      <c r="A16" s="4" t="inlineStr">
        <is>
          <t>seed1</t>
        </is>
      </c>
      <c r="B16" s="4" t="n">
        <v>5</v>
      </c>
      <c r="C16" s="4" t="n">
        <v>2</v>
      </c>
      <c r="D16" s="4" t="n">
        <v>78</v>
      </c>
      <c r="E16" s="4" t="n">
        <v>91.44</v>
      </c>
      <c r="F16" s="4" t="n">
        <v>90.73999999999999</v>
      </c>
      <c r="G16" s="4" t="n">
        <v>98.47</v>
      </c>
      <c r="H16" s="4" t="n">
        <v>90.62</v>
      </c>
      <c r="I16" s="4" t="n">
        <v>1</v>
      </c>
      <c r="J16" s="9">
        <f>E16-H16</f>
        <v/>
      </c>
    </row>
    <row r="17">
      <c r="A17" s="4" t="inlineStr">
        <is>
          <t>seed1</t>
        </is>
      </c>
      <c r="B17" s="4" t="n">
        <v>5</v>
      </c>
      <c r="C17" s="4" t="n">
        <v>21</v>
      </c>
      <c r="D17" s="4" t="n">
        <v>59</v>
      </c>
      <c r="E17" s="4" t="n">
        <v>90.95999999999999</v>
      </c>
      <c r="F17" s="4" t="n">
        <v>90.44</v>
      </c>
      <c r="G17" s="4" t="n">
        <v>98.23</v>
      </c>
      <c r="H17" s="4" t="n">
        <v>90.62</v>
      </c>
      <c r="I17" s="4" t="n">
        <v>1</v>
      </c>
      <c r="J17" s="9">
        <f>E17-H17</f>
        <v/>
      </c>
    </row>
    <row r="18">
      <c r="A18" s="4" t="inlineStr">
        <is>
          <t>seed1</t>
        </is>
      </c>
      <c r="B18" s="4" t="n">
        <v>5</v>
      </c>
      <c r="C18" s="4" t="n">
        <v>31</v>
      </c>
      <c r="D18" s="4" t="n">
        <v>49</v>
      </c>
      <c r="E18" s="4" t="n">
        <v>90.81999999999999</v>
      </c>
      <c r="F18" s="4" t="n">
        <v>90.20999999999999</v>
      </c>
      <c r="G18" s="4" t="n">
        <v>98</v>
      </c>
      <c r="H18" s="4" t="n">
        <v>90.62</v>
      </c>
      <c r="I18" s="4" t="n">
        <v>1</v>
      </c>
      <c r="J18" s="9">
        <f>E18-H18</f>
        <v/>
      </c>
    </row>
    <row r="19">
      <c r="A19" s="4" t="inlineStr">
        <is>
          <t>seed1</t>
        </is>
      </c>
      <c r="B19" s="4" t="n">
        <v>5</v>
      </c>
      <c r="C19" s="4" t="n">
        <v>33</v>
      </c>
      <c r="D19" s="4" t="n">
        <v>47</v>
      </c>
      <c r="E19" s="4" t="n">
        <v>91.06</v>
      </c>
      <c r="F19" s="4" t="n">
        <v>90.19</v>
      </c>
      <c r="G19" s="4" t="n">
        <v>98</v>
      </c>
      <c r="H19" s="4" t="n">
        <v>90.62</v>
      </c>
      <c r="I19" s="4" t="n">
        <v>1</v>
      </c>
      <c r="J19" s="9">
        <f>E19-H19</f>
        <v/>
      </c>
    </row>
    <row r="20">
      <c r="A20" s="4" t="inlineStr">
        <is>
          <t>seed1</t>
        </is>
      </c>
      <c r="B20" s="4" t="n">
        <v>5</v>
      </c>
      <c r="C20" s="4" t="n">
        <v>34</v>
      </c>
      <c r="D20" s="4" t="n">
        <v>46</v>
      </c>
      <c r="E20" s="4" t="n">
        <v>91.40000000000001</v>
      </c>
      <c r="F20" s="4" t="n">
        <v>90.16</v>
      </c>
      <c r="G20" s="4" t="n">
        <v>97.77</v>
      </c>
      <c r="H20" s="4" t="n">
        <v>90.62</v>
      </c>
      <c r="I20" s="4" t="n">
        <v>1</v>
      </c>
      <c r="J20" s="9">
        <f>E20-H20</f>
        <v/>
      </c>
    </row>
    <row r="21">
      <c r="A21" s="4" t="inlineStr">
        <is>
          <t>seed1</t>
        </is>
      </c>
      <c r="B21" s="4" t="n">
        <v>5</v>
      </c>
      <c r="C21" s="4" t="n">
        <v>36</v>
      </c>
      <c r="D21" s="4" t="n">
        <v>44</v>
      </c>
      <c r="E21" s="4" t="n">
        <v>90.56</v>
      </c>
      <c r="F21" s="4" t="n">
        <v>90.03</v>
      </c>
      <c r="G21" s="4" t="n">
        <v>97.83</v>
      </c>
      <c r="H21" s="4" t="n">
        <v>90.62</v>
      </c>
      <c r="I21" s="4" t="n">
        <v>0</v>
      </c>
      <c r="J21" s="9">
        <f>E21-H21</f>
        <v/>
      </c>
    </row>
    <row r="22">
      <c r="A22" s="4" t="inlineStr">
        <is>
          <t>seed1</t>
        </is>
      </c>
      <c r="B22" s="4" t="n">
        <v>5</v>
      </c>
      <c r="C22" s="4" t="n">
        <v>41</v>
      </c>
      <c r="D22" s="4" t="n">
        <v>39</v>
      </c>
      <c r="E22" s="4" t="n">
        <v>90.56</v>
      </c>
      <c r="F22" s="4" t="n">
        <v>90.03</v>
      </c>
      <c r="G22" s="4" t="n">
        <v>97.5</v>
      </c>
      <c r="H22" s="4" t="n">
        <v>90.62</v>
      </c>
      <c r="I22" s="4" t="n">
        <v>0</v>
      </c>
      <c r="J22" s="9">
        <f>E22-H22</f>
        <v/>
      </c>
    </row>
    <row r="23">
      <c r="A23" s="4" t="inlineStr">
        <is>
          <t>seed1</t>
        </is>
      </c>
      <c r="B23" s="4" t="n">
        <v>7</v>
      </c>
      <c r="C23" s="4" t="n">
        <v>2</v>
      </c>
      <c r="D23" s="4" t="n">
        <v>78</v>
      </c>
      <c r="E23" s="4" t="n">
        <v>90.92</v>
      </c>
      <c r="F23" s="4" t="n">
        <v>90.33</v>
      </c>
      <c r="G23" s="4" t="n">
        <v>97.66</v>
      </c>
      <c r="H23" s="4" t="n">
        <v>90.62</v>
      </c>
      <c r="I23" s="4" t="n">
        <v>1</v>
      </c>
      <c r="J23" s="9">
        <f>E23-H23</f>
        <v/>
      </c>
    </row>
    <row r="24">
      <c r="A24" s="4" t="inlineStr">
        <is>
          <t>seed1</t>
        </is>
      </c>
      <c r="B24" s="4" t="n">
        <v>7</v>
      </c>
      <c r="C24" s="4" t="n">
        <v>21</v>
      </c>
      <c r="D24" s="4" t="n">
        <v>59</v>
      </c>
      <c r="E24" s="4" t="n">
        <v>90.88</v>
      </c>
      <c r="F24" s="4" t="n">
        <v>89.93000000000001</v>
      </c>
      <c r="G24" s="4" t="n">
        <v>97.55</v>
      </c>
      <c r="H24" s="4" t="n">
        <v>90.62</v>
      </c>
      <c r="I24" s="4" t="n">
        <v>1</v>
      </c>
      <c r="J24" s="9">
        <f>E24-H24</f>
        <v/>
      </c>
    </row>
    <row r="25">
      <c r="A25" s="4" t="inlineStr">
        <is>
          <t>seed1</t>
        </is>
      </c>
      <c r="B25" s="4" t="n">
        <v>7</v>
      </c>
      <c r="C25" s="4" t="n">
        <v>31</v>
      </c>
      <c r="D25" s="4" t="n">
        <v>49</v>
      </c>
      <c r="E25" s="4" t="n">
        <v>90.90000000000001</v>
      </c>
      <c r="F25" s="4" t="n">
        <v>89.81999999999999</v>
      </c>
      <c r="G25" s="4" t="n">
        <v>97.27</v>
      </c>
      <c r="H25" s="4" t="n">
        <v>90.62</v>
      </c>
      <c r="I25" s="4" t="n">
        <v>1</v>
      </c>
      <c r="J25" s="9">
        <f>E25-H25</f>
        <v/>
      </c>
    </row>
    <row r="26">
      <c r="A26" s="4" t="inlineStr">
        <is>
          <t>seed1</t>
        </is>
      </c>
      <c r="B26" s="4" t="n">
        <v>7</v>
      </c>
      <c r="C26" s="4" t="n">
        <v>36</v>
      </c>
      <c r="D26" s="4" t="n">
        <v>44</v>
      </c>
      <c r="E26" s="4" t="n">
        <v>90.88</v>
      </c>
      <c r="F26" s="4" t="n">
        <v>89.75</v>
      </c>
      <c r="G26" s="4" t="n">
        <v>97.29000000000001</v>
      </c>
      <c r="H26" s="4" t="n">
        <v>90.62</v>
      </c>
      <c r="I26" s="4" t="n">
        <v>1</v>
      </c>
      <c r="J26" s="9">
        <f>E26-H26</f>
        <v/>
      </c>
    </row>
    <row r="27">
      <c r="A27" s="4" t="inlineStr">
        <is>
          <t>seed1</t>
        </is>
      </c>
      <c r="B27" s="4" t="n">
        <v>7</v>
      </c>
      <c r="C27" s="4" t="n">
        <v>38</v>
      </c>
      <c r="D27" s="4" t="n">
        <v>42</v>
      </c>
      <c r="E27" s="4" t="n">
        <v>90.73999999999999</v>
      </c>
      <c r="F27" s="4" t="n">
        <v>89.67</v>
      </c>
      <c r="G27" s="4" t="n">
        <v>97.31</v>
      </c>
      <c r="H27" s="4" t="n">
        <v>90.62</v>
      </c>
      <c r="I27" s="4" t="n">
        <v>1</v>
      </c>
      <c r="J27" s="9">
        <f>E27-H27</f>
        <v/>
      </c>
    </row>
    <row r="28">
      <c r="A28" s="4" t="inlineStr">
        <is>
          <t>seed1</t>
        </is>
      </c>
      <c r="B28" s="4" t="n">
        <v>7</v>
      </c>
      <c r="C28" s="4" t="n">
        <v>39</v>
      </c>
      <c r="D28" s="4" t="n">
        <v>41</v>
      </c>
      <c r="E28" s="4" t="n">
        <v>90.5</v>
      </c>
      <c r="F28" s="4" t="n">
        <v>89.59</v>
      </c>
      <c r="G28" s="4" t="n">
        <v>97.12</v>
      </c>
      <c r="H28" s="4" t="n">
        <v>90.62</v>
      </c>
      <c r="I28" s="4" t="n">
        <v>0</v>
      </c>
      <c r="J28" s="9">
        <f>E28-H28</f>
        <v/>
      </c>
    </row>
    <row r="29">
      <c r="A29" s="4" t="inlineStr">
        <is>
          <t>seed1</t>
        </is>
      </c>
      <c r="B29" s="4" t="n">
        <v>7</v>
      </c>
      <c r="C29" s="4" t="n">
        <v>41</v>
      </c>
      <c r="D29" s="4" t="n">
        <v>39</v>
      </c>
      <c r="E29" s="4" t="n">
        <v>90.52</v>
      </c>
      <c r="F29" s="4" t="n">
        <v>89.68000000000001</v>
      </c>
      <c r="G29" s="4" t="n">
        <v>96.98</v>
      </c>
      <c r="H29" s="4" t="n">
        <v>90.62</v>
      </c>
      <c r="I29" s="4" t="n">
        <v>0</v>
      </c>
      <c r="J29" s="9">
        <f>E29-H29</f>
        <v/>
      </c>
    </row>
    <row r="30">
      <c r="A30" s="4" t="inlineStr">
        <is>
          <t>seed1</t>
        </is>
      </c>
      <c r="B30" s="4" t="n">
        <v>8</v>
      </c>
      <c r="C30" s="4" t="n">
        <v>2</v>
      </c>
      <c r="D30" s="4" t="n">
        <v>78</v>
      </c>
      <c r="E30" s="4" t="n">
        <v>90.28</v>
      </c>
      <c r="F30" s="4" t="n">
        <v>90.05</v>
      </c>
      <c r="G30" s="4" t="n">
        <v>97.29000000000001</v>
      </c>
      <c r="H30" s="4" t="n">
        <v>90.62</v>
      </c>
      <c r="I30" s="4" t="n">
        <v>0</v>
      </c>
      <c r="J30" s="9">
        <f>E30-H30</f>
        <v/>
      </c>
    </row>
    <row r="31">
      <c r="A31" s="4" t="inlineStr">
        <is>
          <t>seed2</t>
        </is>
      </c>
      <c r="B31" s="4" t="n">
        <v>3</v>
      </c>
      <c r="C31" s="4" t="n">
        <v>2</v>
      </c>
      <c r="D31" s="4" t="n">
        <v>78</v>
      </c>
      <c r="E31" s="4" t="n">
        <v>91.76000000000001</v>
      </c>
      <c r="F31" s="4" t="n">
        <v>90.67</v>
      </c>
      <c r="G31" s="4" t="n">
        <v>98.58</v>
      </c>
      <c r="H31" s="4" t="n">
        <v>90.54000000000001</v>
      </c>
      <c r="I31" s="4" t="n">
        <v>1</v>
      </c>
      <c r="J31" s="9">
        <f>E31-H31</f>
        <v/>
      </c>
    </row>
    <row r="32">
      <c r="A32" s="4" t="inlineStr">
        <is>
          <t>seed2</t>
        </is>
      </c>
      <c r="B32" s="4" t="n">
        <v>3</v>
      </c>
      <c r="C32" s="4" t="n">
        <v>41</v>
      </c>
      <c r="D32" s="4" t="n">
        <v>39</v>
      </c>
      <c r="E32" s="4" t="n">
        <v>91.3</v>
      </c>
      <c r="F32" s="4" t="n">
        <v>90.04000000000001</v>
      </c>
      <c r="G32" s="4" t="n">
        <v>98.19</v>
      </c>
      <c r="H32" s="4" t="n">
        <v>90.54000000000001</v>
      </c>
      <c r="I32" s="4" t="n">
        <v>1</v>
      </c>
      <c r="J32" s="9">
        <f>E32-H32</f>
        <v/>
      </c>
    </row>
    <row r="33">
      <c r="A33" s="4" t="inlineStr">
        <is>
          <t>seed2</t>
        </is>
      </c>
      <c r="B33" s="4" t="n">
        <v>3</v>
      </c>
      <c r="C33" s="4" t="n">
        <v>60</v>
      </c>
      <c r="D33" s="4" t="n">
        <v>20</v>
      </c>
      <c r="E33" s="4" t="n">
        <v>91.16</v>
      </c>
      <c r="F33" s="4" t="n">
        <v>89.89</v>
      </c>
      <c r="G33" s="4" t="n">
        <v>97.87</v>
      </c>
      <c r="H33" s="4" t="n">
        <v>90.54000000000001</v>
      </c>
      <c r="I33" s="4" t="n">
        <v>1</v>
      </c>
      <c r="J33" s="9">
        <f>E33-H33</f>
        <v/>
      </c>
    </row>
    <row r="34">
      <c r="A34" s="4" t="inlineStr">
        <is>
          <t>seed2</t>
        </is>
      </c>
      <c r="B34" s="4" t="n">
        <v>3</v>
      </c>
      <c r="C34" s="4" t="n">
        <v>70</v>
      </c>
      <c r="D34" s="4" t="n">
        <v>10</v>
      </c>
      <c r="E34" s="4" t="n">
        <v>91.14</v>
      </c>
      <c r="F34" s="4" t="n">
        <v>89.78</v>
      </c>
      <c r="G34" s="4" t="n">
        <v>97.91</v>
      </c>
      <c r="H34" s="4" t="n">
        <v>90.54000000000001</v>
      </c>
      <c r="I34" s="4" t="n">
        <v>1</v>
      </c>
      <c r="J34" s="9">
        <f>E34-H34</f>
        <v/>
      </c>
    </row>
    <row r="35">
      <c r="A35" s="4" t="inlineStr">
        <is>
          <t>seed2</t>
        </is>
      </c>
      <c r="B35" s="4" t="n">
        <v>3</v>
      </c>
      <c r="C35" s="4" t="n">
        <v>75</v>
      </c>
      <c r="D35" s="4" t="n">
        <v>5</v>
      </c>
      <c r="E35" s="4" t="n">
        <v>90.86</v>
      </c>
      <c r="F35" s="4" t="n">
        <v>89.87</v>
      </c>
      <c r="G35" s="4" t="n">
        <v>97.83</v>
      </c>
      <c r="H35" s="4" t="n">
        <v>90.54000000000001</v>
      </c>
      <c r="I35" s="4" t="n">
        <v>1</v>
      </c>
      <c r="J35" s="9">
        <f>E35-H35</f>
        <v/>
      </c>
    </row>
    <row r="36">
      <c r="A36" s="4" t="inlineStr">
        <is>
          <t>seed2</t>
        </is>
      </c>
      <c r="B36" s="4" t="n">
        <v>3</v>
      </c>
      <c r="C36" s="4" t="n">
        <v>77</v>
      </c>
      <c r="D36" s="4" t="n">
        <v>3</v>
      </c>
      <c r="E36" s="4" t="n">
        <v>90.72</v>
      </c>
      <c r="F36" s="4" t="n">
        <v>89.78</v>
      </c>
      <c r="G36" s="4" t="n">
        <v>97.81</v>
      </c>
      <c r="H36" s="4" t="n">
        <v>90.54000000000001</v>
      </c>
      <c r="I36" s="4" t="n">
        <v>1</v>
      </c>
      <c r="J36" s="9">
        <f>E36-H36</f>
        <v/>
      </c>
    </row>
    <row r="37">
      <c r="A37" s="4" t="inlineStr">
        <is>
          <t>seed2</t>
        </is>
      </c>
      <c r="B37" s="4" t="n">
        <v>3</v>
      </c>
      <c r="C37" s="4" t="n">
        <v>78</v>
      </c>
      <c r="D37" s="4" t="n">
        <v>2</v>
      </c>
      <c r="E37" s="4" t="n">
        <v>90.66</v>
      </c>
      <c r="F37" s="4" t="n">
        <v>89.67</v>
      </c>
      <c r="G37" s="4" t="n">
        <v>97.66</v>
      </c>
      <c r="H37" s="4" t="n">
        <v>90.54000000000001</v>
      </c>
      <c r="I37" s="4" t="n">
        <v>1</v>
      </c>
      <c r="J37" s="9">
        <f>E37-H37</f>
        <v/>
      </c>
    </row>
    <row r="38">
      <c r="A38" s="4" t="inlineStr">
        <is>
          <t>seed2</t>
        </is>
      </c>
      <c r="B38" s="4" t="n">
        <v>4</v>
      </c>
      <c r="C38" s="4" t="n">
        <v>2</v>
      </c>
      <c r="D38" s="4" t="n">
        <v>78</v>
      </c>
      <c r="E38" s="4" t="n">
        <v>91.14</v>
      </c>
      <c r="F38" s="4" t="n">
        <v>90.28</v>
      </c>
      <c r="G38" s="4" t="n">
        <v>98.43000000000001</v>
      </c>
      <c r="H38" s="4" t="n">
        <v>90.54000000000001</v>
      </c>
      <c r="I38" s="4" t="n">
        <v>1</v>
      </c>
      <c r="J38" s="9">
        <f>E38-H38</f>
        <v/>
      </c>
    </row>
    <row r="39">
      <c r="A39" s="4" t="inlineStr">
        <is>
          <t>seed2</t>
        </is>
      </c>
      <c r="B39" s="4" t="n">
        <v>4</v>
      </c>
      <c r="C39" s="4" t="n">
        <v>41</v>
      </c>
      <c r="D39" s="4" t="n">
        <v>39</v>
      </c>
      <c r="E39" s="4" t="n">
        <v>91</v>
      </c>
      <c r="F39" s="4" t="n">
        <v>89.84</v>
      </c>
      <c r="G39" s="4" t="n">
        <v>98.01000000000001</v>
      </c>
      <c r="H39" s="4" t="n">
        <v>90.54000000000001</v>
      </c>
      <c r="I39" s="4" t="n">
        <v>1</v>
      </c>
      <c r="J39" s="9">
        <f>E39-H39</f>
        <v/>
      </c>
    </row>
    <row r="40">
      <c r="A40" s="4" t="inlineStr">
        <is>
          <t>seed2</t>
        </is>
      </c>
      <c r="B40" s="4" t="n">
        <v>4</v>
      </c>
      <c r="C40" s="4" t="n">
        <v>60</v>
      </c>
      <c r="D40" s="4" t="n">
        <v>20</v>
      </c>
      <c r="E40" s="4" t="n">
        <v>90.59999999999999</v>
      </c>
      <c r="F40" s="4" t="n">
        <v>89.62</v>
      </c>
      <c r="G40" s="4" t="n">
        <v>97.37</v>
      </c>
      <c r="H40" s="4" t="n">
        <v>90.54000000000001</v>
      </c>
      <c r="I40" s="4" t="n">
        <v>1</v>
      </c>
      <c r="J40" s="9">
        <f>E40-H40</f>
        <v/>
      </c>
    </row>
    <row r="41">
      <c r="A41" s="4" t="inlineStr">
        <is>
          <t>seed2</t>
        </is>
      </c>
      <c r="B41" s="4" t="n">
        <v>4</v>
      </c>
      <c r="C41" s="4" t="n">
        <v>70</v>
      </c>
      <c r="D41" s="4" t="n">
        <v>10</v>
      </c>
      <c r="E41" s="4" t="n">
        <v>90.54000000000001</v>
      </c>
      <c r="F41" s="4" t="n">
        <v>89.58</v>
      </c>
      <c r="G41" s="4" t="n">
        <v>97.28</v>
      </c>
      <c r="H41" s="4" t="n">
        <v>90.54000000000001</v>
      </c>
      <c r="I41" s="4" t="n">
        <v>1</v>
      </c>
      <c r="J41" s="9">
        <f>E41-H41</f>
        <v/>
      </c>
    </row>
    <row r="42">
      <c r="A42" s="4" t="inlineStr">
        <is>
          <t>seed2</t>
        </is>
      </c>
      <c r="B42" s="4" t="n">
        <v>4</v>
      </c>
      <c r="C42" s="4" t="n">
        <v>72</v>
      </c>
      <c r="D42" s="4" t="n">
        <v>8</v>
      </c>
      <c r="E42" s="4" t="n">
        <v>90.31999999999999</v>
      </c>
      <c r="F42" s="4" t="n">
        <v>89.44</v>
      </c>
      <c r="G42" s="4" t="n">
        <v>97.20999999999999</v>
      </c>
      <c r="H42" s="4" t="n">
        <v>90.54000000000001</v>
      </c>
      <c r="I42" s="4" t="n">
        <v>0</v>
      </c>
      <c r="J42" s="9">
        <f>E42-H42</f>
        <v/>
      </c>
    </row>
    <row r="43">
      <c r="A43" s="4" t="inlineStr">
        <is>
          <t>seed2</t>
        </is>
      </c>
      <c r="B43" s="4" t="n">
        <v>4</v>
      </c>
      <c r="C43" s="4" t="n">
        <v>75</v>
      </c>
      <c r="D43" s="4" t="n">
        <v>5</v>
      </c>
      <c r="E43" s="4" t="n">
        <v>90.40000000000001</v>
      </c>
      <c r="F43" s="4" t="n">
        <v>89.28</v>
      </c>
      <c r="G43" s="4" t="n">
        <v>97.11</v>
      </c>
      <c r="H43" s="4" t="n">
        <v>90.54000000000001</v>
      </c>
      <c r="I43" s="4" t="n">
        <v>0</v>
      </c>
      <c r="J43" s="9">
        <f>E43-H43</f>
        <v/>
      </c>
    </row>
    <row r="44">
      <c r="A44" s="4" t="inlineStr">
        <is>
          <t>seed2</t>
        </is>
      </c>
      <c r="B44" s="4" t="n">
        <v>5</v>
      </c>
      <c r="C44" s="4" t="n">
        <v>2</v>
      </c>
      <c r="D44" s="4" t="n">
        <v>78</v>
      </c>
      <c r="E44" s="4" t="n">
        <v>91</v>
      </c>
      <c r="F44" s="4" t="n">
        <v>90.40000000000001</v>
      </c>
      <c r="G44" s="4" t="n">
        <v>98.14</v>
      </c>
      <c r="H44" s="4" t="n">
        <v>90.54000000000001</v>
      </c>
      <c r="I44" s="4" t="n">
        <v>1</v>
      </c>
      <c r="J44" s="9">
        <f>E44-H44</f>
        <v/>
      </c>
    </row>
    <row r="45">
      <c r="A45" s="4" t="inlineStr">
        <is>
          <t>seed2</t>
        </is>
      </c>
      <c r="B45" s="4" t="n">
        <v>5</v>
      </c>
      <c r="C45" s="4" t="n">
        <v>41</v>
      </c>
      <c r="D45" s="4" t="n">
        <v>39</v>
      </c>
      <c r="E45" s="4" t="n">
        <v>90.95999999999999</v>
      </c>
      <c r="F45" s="4" t="n">
        <v>89.66</v>
      </c>
      <c r="G45" s="4" t="n">
        <v>97.61</v>
      </c>
      <c r="H45" s="4" t="n">
        <v>90.54000000000001</v>
      </c>
      <c r="I45" s="4" t="n">
        <v>1</v>
      </c>
      <c r="J45" s="9">
        <f>E45-H45</f>
        <v/>
      </c>
    </row>
    <row r="46">
      <c r="A46" s="4" t="inlineStr">
        <is>
          <t>seed2</t>
        </is>
      </c>
      <c r="B46" s="4" t="n">
        <v>5</v>
      </c>
      <c r="C46" s="4" t="n">
        <v>50</v>
      </c>
      <c r="D46" s="4" t="n">
        <v>30</v>
      </c>
      <c r="E46" s="4" t="n">
        <v>90.66</v>
      </c>
      <c r="F46" s="4" t="n">
        <v>89.58</v>
      </c>
      <c r="G46" s="4" t="n">
        <v>97.47</v>
      </c>
      <c r="H46" s="4" t="n">
        <v>90.54000000000001</v>
      </c>
      <c r="I46" s="4" t="n">
        <v>1</v>
      </c>
      <c r="J46" s="9">
        <f>E46-H46</f>
        <v/>
      </c>
    </row>
    <row r="47">
      <c r="A47" s="4" t="inlineStr">
        <is>
          <t>seed2</t>
        </is>
      </c>
      <c r="B47" s="4" t="n">
        <v>5</v>
      </c>
      <c r="C47" s="4" t="n">
        <v>55</v>
      </c>
      <c r="D47" s="4" t="n">
        <v>25</v>
      </c>
      <c r="E47" s="4" t="n">
        <v>90.66</v>
      </c>
      <c r="F47" s="4" t="n">
        <v>89.62</v>
      </c>
      <c r="G47" s="4" t="n">
        <v>97.16</v>
      </c>
      <c r="H47" s="4" t="n">
        <v>90.54000000000001</v>
      </c>
      <c r="I47" s="4" t="n">
        <v>1</v>
      </c>
      <c r="J47" s="9">
        <f>E47-H47</f>
        <v/>
      </c>
    </row>
    <row r="48">
      <c r="A48" s="4" t="inlineStr">
        <is>
          <t>seed2</t>
        </is>
      </c>
      <c r="B48" s="4" t="n">
        <v>5</v>
      </c>
      <c r="C48" s="4" t="n">
        <v>57</v>
      </c>
      <c r="D48" s="4" t="n">
        <v>23</v>
      </c>
      <c r="E48" s="4" t="n">
        <v>90.44</v>
      </c>
      <c r="F48" s="4" t="n">
        <v>89.70999999999999</v>
      </c>
      <c r="G48" s="4" t="n">
        <v>97.06999999999999</v>
      </c>
      <c r="H48" s="4" t="n">
        <v>90.54000000000001</v>
      </c>
      <c r="I48" s="4" t="n">
        <v>0</v>
      </c>
      <c r="J48" s="9">
        <f>E48-H48</f>
        <v/>
      </c>
    </row>
    <row r="49">
      <c r="A49" s="4" t="inlineStr">
        <is>
          <t>seed2</t>
        </is>
      </c>
      <c r="B49" s="4" t="n">
        <v>5</v>
      </c>
      <c r="C49" s="4" t="n">
        <v>60</v>
      </c>
      <c r="D49" s="4" t="n">
        <v>20</v>
      </c>
      <c r="E49" s="4" t="n">
        <v>90.3</v>
      </c>
      <c r="F49" s="4" t="n">
        <v>89.31999999999999</v>
      </c>
      <c r="G49" s="4" t="n">
        <v>96.77</v>
      </c>
      <c r="H49" s="4" t="n">
        <v>90.54000000000001</v>
      </c>
      <c r="I49" s="4" t="n">
        <v>0</v>
      </c>
      <c r="J49" s="9">
        <f>E49-H49</f>
        <v/>
      </c>
    </row>
    <row r="50">
      <c r="A50" s="4" t="inlineStr">
        <is>
          <t>seed2</t>
        </is>
      </c>
      <c r="B50" s="4" t="n">
        <v>6</v>
      </c>
      <c r="C50" s="4" t="n">
        <v>2</v>
      </c>
      <c r="D50" s="4" t="n">
        <v>78</v>
      </c>
      <c r="E50" s="4" t="n">
        <v>91.2</v>
      </c>
      <c r="F50" s="4" t="n">
        <v>90.26000000000001</v>
      </c>
      <c r="G50" s="4" t="n">
        <v>98.08</v>
      </c>
      <c r="H50" s="4" t="n">
        <v>90.54000000000001</v>
      </c>
      <c r="I50" s="4" t="n">
        <v>1</v>
      </c>
      <c r="J50" s="9">
        <f>E50-H50</f>
        <v/>
      </c>
    </row>
    <row r="51">
      <c r="A51" s="4" t="inlineStr">
        <is>
          <t>seed2</t>
        </is>
      </c>
      <c r="B51" s="4" t="n">
        <v>6</v>
      </c>
      <c r="C51" s="4" t="n">
        <v>41</v>
      </c>
      <c r="D51" s="4" t="n">
        <v>39</v>
      </c>
      <c r="E51" s="4" t="n">
        <v>90.73999999999999</v>
      </c>
      <c r="F51" s="4" t="n">
        <v>89.73</v>
      </c>
      <c r="G51" s="4" t="n">
        <v>97.22</v>
      </c>
      <c r="H51" s="4" t="n">
        <v>90.54000000000001</v>
      </c>
      <c r="I51" s="4" t="n">
        <v>1</v>
      </c>
      <c r="J51" s="9">
        <f>E51-H51</f>
        <v/>
      </c>
    </row>
    <row r="52">
      <c r="A52" s="4" t="inlineStr">
        <is>
          <t>seed2</t>
        </is>
      </c>
      <c r="B52" s="4" t="n">
        <v>6</v>
      </c>
      <c r="C52" s="4" t="n">
        <v>50</v>
      </c>
      <c r="D52" s="4" t="n">
        <v>30</v>
      </c>
      <c r="E52" s="4" t="n">
        <v>90.81999999999999</v>
      </c>
      <c r="F52" s="4" t="n">
        <v>89.58</v>
      </c>
      <c r="G52" s="4" t="n">
        <v>97</v>
      </c>
      <c r="H52" s="4" t="n">
        <v>90.54000000000001</v>
      </c>
      <c r="I52" s="4" t="n">
        <v>1</v>
      </c>
      <c r="J52" s="9">
        <f>E52-H52</f>
        <v/>
      </c>
    </row>
    <row r="53">
      <c r="A53" s="4" t="inlineStr">
        <is>
          <t>seed2</t>
        </is>
      </c>
      <c r="B53" s="4" t="n">
        <v>6</v>
      </c>
      <c r="C53" s="4" t="n">
        <v>52</v>
      </c>
      <c r="D53" s="4" t="n">
        <v>28</v>
      </c>
      <c r="E53" s="4" t="n">
        <v>90.72</v>
      </c>
      <c r="F53" s="4" t="n">
        <v>89.62</v>
      </c>
      <c r="G53" s="4" t="n">
        <v>97.05</v>
      </c>
      <c r="H53" s="4" t="n">
        <v>90.54000000000001</v>
      </c>
      <c r="I53" s="4" t="n">
        <v>1</v>
      </c>
      <c r="J53" s="9">
        <f>E53-H53</f>
        <v/>
      </c>
    </row>
    <row r="54">
      <c r="A54" s="4" t="inlineStr">
        <is>
          <t>seed2</t>
        </is>
      </c>
      <c r="B54" s="4" t="n">
        <v>6</v>
      </c>
      <c r="C54" s="4" t="n">
        <v>53</v>
      </c>
      <c r="D54" s="4" t="n">
        <v>27</v>
      </c>
      <c r="E54" s="4" t="n">
        <v>90.68000000000001</v>
      </c>
      <c r="F54" s="4" t="n">
        <v>89.48</v>
      </c>
      <c r="G54" s="4" t="n">
        <v>96.95</v>
      </c>
      <c r="H54" s="4" t="n">
        <v>90.54000000000001</v>
      </c>
      <c r="I54" s="4" t="n">
        <v>1</v>
      </c>
      <c r="J54" s="9">
        <f>E54-H54</f>
        <v/>
      </c>
    </row>
    <row r="55">
      <c r="A55" s="4" t="inlineStr">
        <is>
          <t>seed2</t>
        </is>
      </c>
      <c r="B55" s="4" t="n">
        <v>6</v>
      </c>
      <c r="C55" s="4" t="n">
        <v>55</v>
      </c>
      <c r="D55" s="4" t="n">
        <v>25</v>
      </c>
      <c r="E55" s="4" t="n">
        <v>90.48</v>
      </c>
      <c r="F55" s="4" t="n">
        <v>89.48999999999999</v>
      </c>
      <c r="G55" s="4" t="n">
        <v>96.81999999999999</v>
      </c>
      <c r="H55" s="4" t="n">
        <v>90.54000000000001</v>
      </c>
      <c r="I55" s="4" t="n">
        <v>0</v>
      </c>
      <c r="J55" s="9">
        <f>E55-H55</f>
        <v/>
      </c>
    </row>
    <row r="56">
      <c r="A56" s="4" t="inlineStr">
        <is>
          <t>seed2</t>
        </is>
      </c>
      <c r="B56" s="4" t="n">
        <v>6</v>
      </c>
      <c r="C56" s="4" t="n">
        <v>60</v>
      </c>
      <c r="D56" s="4" t="n">
        <v>20</v>
      </c>
      <c r="E56" s="4" t="n">
        <v>90.52</v>
      </c>
      <c r="F56" s="4" t="n">
        <v>89.23</v>
      </c>
      <c r="G56" s="4" t="n">
        <v>96.53</v>
      </c>
      <c r="H56" s="4" t="n">
        <v>90.54000000000001</v>
      </c>
      <c r="I56" s="4" t="n">
        <v>0</v>
      </c>
      <c r="J56" s="9">
        <f>E56-H56</f>
        <v/>
      </c>
    </row>
    <row r="57">
      <c r="A57" s="4" t="inlineStr">
        <is>
          <t>seed2</t>
        </is>
      </c>
      <c r="B57" s="4" t="n">
        <v>7</v>
      </c>
      <c r="C57" s="4" t="n">
        <v>2</v>
      </c>
      <c r="D57" s="4" t="n">
        <v>78</v>
      </c>
      <c r="E57" s="4" t="n">
        <v>91.16</v>
      </c>
      <c r="F57" s="4" t="n">
        <v>90.36</v>
      </c>
      <c r="G57" s="4" t="n">
        <v>97.33</v>
      </c>
      <c r="H57" s="4" t="n">
        <v>90.54000000000001</v>
      </c>
      <c r="I57" s="4" t="n">
        <v>1</v>
      </c>
      <c r="J57" s="9">
        <f>E57-H57</f>
        <v/>
      </c>
    </row>
    <row r="58">
      <c r="A58" s="4" t="inlineStr">
        <is>
          <t>seed2</t>
        </is>
      </c>
      <c r="B58" s="4" t="n">
        <v>7</v>
      </c>
      <c r="C58" s="4" t="n">
        <v>41</v>
      </c>
      <c r="D58" s="4" t="n">
        <v>39</v>
      </c>
      <c r="E58" s="4" t="n">
        <v>90.58</v>
      </c>
      <c r="F58" s="4" t="n">
        <v>89.40000000000001</v>
      </c>
      <c r="G58" s="4" t="n">
        <v>96.59999999999999</v>
      </c>
      <c r="H58" s="4" t="n">
        <v>90.54000000000001</v>
      </c>
      <c r="I58" s="4" t="n">
        <v>1</v>
      </c>
      <c r="J58" s="9">
        <f>E58-H58</f>
        <v/>
      </c>
    </row>
    <row r="59">
      <c r="A59" s="4" t="inlineStr">
        <is>
          <t>seed2</t>
        </is>
      </c>
      <c r="B59" s="4" t="n">
        <v>7</v>
      </c>
      <c r="C59" s="4" t="n">
        <v>43</v>
      </c>
      <c r="D59" s="4" t="n">
        <v>37</v>
      </c>
      <c r="E59" s="4" t="n">
        <v>90.73999999999999</v>
      </c>
      <c r="F59" s="4" t="n">
        <v>89.37</v>
      </c>
      <c r="G59" s="4" t="n">
        <v>96.53</v>
      </c>
      <c r="H59" s="4" t="n">
        <v>90.54000000000001</v>
      </c>
      <c r="I59" s="4" t="n">
        <v>1</v>
      </c>
      <c r="J59" s="9">
        <f>E59-H59</f>
        <v/>
      </c>
    </row>
    <row r="60">
      <c r="A60" s="4" t="inlineStr">
        <is>
          <t>seed2</t>
        </is>
      </c>
      <c r="B60" s="4" t="n">
        <v>7</v>
      </c>
      <c r="C60" s="4" t="n">
        <v>45</v>
      </c>
      <c r="D60" s="4" t="n">
        <v>35</v>
      </c>
      <c r="E60" s="4" t="n">
        <v>90.42</v>
      </c>
      <c r="F60" s="4" t="n">
        <v>89.47</v>
      </c>
      <c r="G60" s="4" t="n">
        <v>96.44</v>
      </c>
      <c r="H60" s="4" t="n">
        <v>90.54000000000001</v>
      </c>
      <c r="I60" s="4" t="n">
        <v>0</v>
      </c>
      <c r="J60" s="9">
        <f>E60-H60</f>
        <v/>
      </c>
    </row>
    <row r="61">
      <c r="A61" s="4" t="inlineStr">
        <is>
          <t>seed2</t>
        </is>
      </c>
      <c r="B61" s="4" t="n">
        <v>7</v>
      </c>
      <c r="C61" s="4" t="n">
        <v>50</v>
      </c>
      <c r="D61" s="4" t="n">
        <v>30</v>
      </c>
      <c r="E61" s="4" t="n">
        <v>90.31999999999999</v>
      </c>
      <c r="F61" s="4" t="n">
        <v>89.47</v>
      </c>
      <c r="G61" s="4" t="n">
        <v>96.34</v>
      </c>
      <c r="H61" s="4" t="n">
        <v>90.54000000000001</v>
      </c>
      <c r="I61" s="4" t="n">
        <v>0</v>
      </c>
      <c r="J61" s="9">
        <f>E61-H61</f>
        <v/>
      </c>
    </row>
    <row r="62">
      <c r="A62" s="4" t="inlineStr">
        <is>
          <t>seed2</t>
        </is>
      </c>
      <c r="B62" s="4" t="n">
        <v>7</v>
      </c>
      <c r="C62" s="4" t="n">
        <v>60</v>
      </c>
      <c r="D62" s="4" t="n">
        <v>20</v>
      </c>
      <c r="E62" s="4" t="n">
        <v>89.90000000000001</v>
      </c>
      <c r="F62" s="4" t="n">
        <v>88.86</v>
      </c>
      <c r="G62" s="4" t="n">
        <v>95.16</v>
      </c>
      <c r="H62" s="4" t="n">
        <v>90.54000000000001</v>
      </c>
      <c r="I62" s="4" t="n">
        <v>0</v>
      </c>
      <c r="J62" s="9">
        <f>E62-H62</f>
        <v/>
      </c>
    </row>
    <row r="63">
      <c r="A63" s="4" t="inlineStr">
        <is>
          <t>seed2</t>
        </is>
      </c>
      <c r="B63" s="4" t="n">
        <v>8</v>
      </c>
      <c r="C63" s="4" t="n">
        <v>2</v>
      </c>
      <c r="D63" s="4" t="n">
        <v>78</v>
      </c>
      <c r="E63" s="4" t="n">
        <v>90.54000000000001</v>
      </c>
      <c r="F63" s="4" t="n">
        <v>90.18000000000001</v>
      </c>
      <c r="G63" s="4" t="n">
        <v>97.02</v>
      </c>
      <c r="H63" s="4" t="n">
        <v>90.54000000000001</v>
      </c>
      <c r="I63" s="4" t="n">
        <v>1</v>
      </c>
      <c r="J63" s="9">
        <f>E63-H63</f>
        <v/>
      </c>
    </row>
    <row r="64">
      <c r="A64" s="4" t="inlineStr">
        <is>
          <t>seed2</t>
        </is>
      </c>
      <c r="B64" s="4" t="n">
        <v>8</v>
      </c>
      <c r="C64" s="4" t="n">
        <v>4</v>
      </c>
      <c r="D64" s="4" t="n">
        <v>76</v>
      </c>
      <c r="E64" s="4" t="n">
        <v>90.3</v>
      </c>
      <c r="F64" s="4" t="n">
        <v>89.90000000000001</v>
      </c>
      <c r="G64" s="4" t="n">
        <v>97.03</v>
      </c>
      <c r="H64" s="4" t="n">
        <v>90.54000000000001</v>
      </c>
      <c r="I64" s="4" t="n">
        <v>0</v>
      </c>
      <c r="J64" s="9">
        <f>E64-H64</f>
        <v/>
      </c>
    </row>
    <row r="65">
      <c r="A65" s="4" t="inlineStr">
        <is>
          <t>seed2</t>
        </is>
      </c>
      <c r="B65" s="4" t="n">
        <v>8</v>
      </c>
      <c r="C65" s="4" t="n">
        <v>6</v>
      </c>
      <c r="D65" s="4" t="n">
        <v>74</v>
      </c>
      <c r="E65" s="4" t="n">
        <v>90.38</v>
      </c>
      <c r="F65" s="4" t="n">
        <v>89.98999999999999</v>
      </c>
      <c r="G65" s="4" t="n">
        <v>97.02</v>
      </c>
      <c r="H65" s="4" t="n">
        <v>90.54000000000001</v>
      </c>
      <c r="I65" s="4" t="n">
        <v>0</v>
      </c>
      <c r="J65" s="9">
        <f>E65-H65</f>
        <v/>
      </c>
    </row>
    <row r="66">
      <c r="A66" s="4" t="inlineStr">
        <is>
          <t>seed2</t>
        </is>
      </c>
      <c r="B66" s="4" t="n">
        <v>8</v>
      </c>
      <c r="C66" s="4" t="n">
        <v>11</v>
      </c>
      <c r="D66" s="4" t="n">
        <v>69</v>
      </c>
      <c r="E66" s="4" t="n">
        <v>90.48</v>
      </c>
      <c r="F66" s="4" t="n">
        <v>90.12</v>
      </c>
      <c r="G66" s="4" t="n">
        <v>96.87</v>
      </c>
      <c r="H66" s="4" t="n">
        <v>90.54000000000001</v>
      </c>
      <c r="I66" s="4" t="n">
        <v>0</v>
      </c>
      <c r="J66" s="9">
        <f>E66-H66</f>
        <v/>
      </c>
    </row>
    <row r="67">
      <c r="A67" s="4" t="inlineStr">
        <is>
          <t>seed2</t>
        </is>
      </c>
      <c r="B67" s="4" t="n">
        <v>8</v>
      </c>
      <c r="C67" s="4" t="n">
        <v>21</v>
      </c>
      <c r="D67" s="4" t="n">
        <v>59</v>
      </c>
      <c r="E67" s="4" t="n">
        <v>90.26000000000001</v>
      </c>
      <c r="F67" s="4" t="n">
        <v>89.88</v>
      </c>
      <c r="G67" s="4" t="n">
        <v>96.89</v>
      </c>
      <c r="H67" s="4" t="n">
        <v>90.54000000000001</v>
      </c>
      <c r="I67" s="4" t="n">
        <v>0</v>
      </c>
      <c r="J67" s="9">
        <f>E67-H67</f>
        <v/>
      </c>
    </row>
    <row r="68">
      <c r="A68" s="4" t="inlineStr">
        <is>
          <t>seed2</t>
        </is>
      </c>
      <c r="B68" s="4" t="n">
        <v>8</v>
      </c>
      <c r="C68" s="4" t="n">
        <v>41</v>
      </c>
      <c r="D68" s="4" t="n">
        <v>39</v>
      </c>
      <c r="E68" s="4" t="n">
        <v>90.26000000000001</v>
      </c>
      <c r="F68" s="4" t="n">
        <v>89.29000000000001</v>
      </c>
      <c r="G68" s="4" t="n">
        <v>96.05</v>
      </c>
      <c r="H68" s="4" t="n">
        <v>90.54000000000001</v>
      </c>
      <c r="I68" s="4" t="n">
        <v>0</v>
      </c>
      <c r="J68" s="9">
        <f>E68-H68</f>
        <v/>
      </c>
    </row>
    <row r="69">
      <c r="A69" s="4" t="inlineStr">
        <is>
          <t>seed2</t>
        </is>
      </c>
      <c r="B69" s="4" t="n">
        <v>9</v>
      </c>
      <c r="C69" s="4" t="n">
        <v>2</v>
      </c>
      <c r="D69" s="4" t="n">
        <v>78</v>
      </c>
      <c r="E69" s="4" t="n">
        <v>90.54000000000001</v>
      </c>
      <c r="F69" s="4" t="n">
        <v>90.12</v>
      </c>
      <c r="G69" s="4" t="n">
        <v>96.84</v>
      </c>
      <c r="H69" s="4" t="n">
        <v>90.54000000000001</v>
      </c>
      <c r="I69" s="4" t="n">
        <v>1</v>
      </c>
      <c r="J69" s="9">
        <f>E69-H69</f>
        <v/>
      </c>
    </row>
    <row r="70">
      <c r="A70" s="4" t="inlineStr">
        <is>
          <t>seed2</t>
        </is>
      </c>
      <c r="B70" s="4" t="n">
        <v>9</v>
      </c>
      <c r="C70" s="4" t="n">
        <v>21</v>
      </c>
      <c r="D70" s="4" t="n">
        <v>59</v>
      </c>
      <c r="E70" s="4" t="n">
        <v>90.59999999999999</v>
      </c>
      <c r="F70" s="4" t="n">
        <v>90.01000000000001</v>
      </c>
      <c r="G70" s="4" t="n">
        <v>96.67</v>
      </c>
      <c r="H70" s="4" t="n">
        <v>90.54000000000001</v>
      </c>
      <c r="I70" s="4" t="n">
        <v>1</v>
      </c>
      <c r="J70" s="9">
        <f>E70-H70</f>
        <v/>
      </c>
    </row>
    <row r="71">
      <c r="A71" s="4" t="inlineStr">
        <is>
          <t>seed2</t>
        </is>
      </c>
      <c r="B71" s="4" t="n">
        <v>9</v>
      </c>
      <c r="C71" s="4" t="n">
        <v>26</v>
      </c>
      <c r="D71" s="4" t="n">
        <v>54</v>
      </c>
      <c r="E71" s="4" t="n">
        <v>90.66</v>
      </c>
      <c r="F71" s="4" t="n">
        <v>89.84</v>
      </c>
      <c r="G71" s="4" t="n">
        <v>96.54000000000001</v>
      </c>
      <c r="H71" s="4" t="n">
        <v>90.54000000000001</v>
      </c>
      <c r="I71" s="4" t="n">
        <v>1</v>
      </c>
      <c r="J71" s="9">
        <f>E71-H71</f>
        <v/>
      </c>
    </row>
    <row r="72">
      <c r="A72" s="4" t="inlineStr">
        <is>
          <t>seed2</t>
        </is>
      </c>
      <c r="B72" s="4" t="n">
        <v>9</v>
      </c>
      <c r="C72" s="4" t="n">
        <v>28</v>
      </c>
      <c r="D72" s="4" t="n">
        <v>52</v>
      </c>
      <c r="E72" s="4" t="n">
        <v>90.3</v>
      </c>
      <c r="F72" s="4" t="n">
        <v>89.84999999999999</v>
      </c>
      <c r="G72" s="4" t="n">
        <v>96.72</v>
      </c>
      <c r="H72" s="4" t="n">
        <v>90.54000000000001</v>
      </c>
      <c r="I72" s="4" t="n">
        <v>0</v>
      </c>
      <c r="J72" s="9">
        <f>E72-H72</f>
        <v/>
      </c>
    </row>
    <row r="73">
      <c r="A73" s="4" t="inlineStr">
        <is>
          <t>seed2</t>
        </is>
      </c>
      <c r="B73" s="4" t="n">
        <v>9</v>
      </c>
      <c r="C73" s="4" t="n">
        <v>31</v>
      </c>
      <c r="D73" s="4" t="n">
        <v>49</v>
      </c>
      <c r="E73" s="4" t="n">
        <v>90.34</v>
      </c>
      <c r="F73" s="4" t="n">
        <v>89.86</v>
      </c>
      <c r="G73" s="4" t="n">
        <v>96.76000000000001</v>
      </c>
      <c r="H73" s="4" t="n">
        <v>90.54000000000001</v>
      </c>
      <c r="I73" s="4" t="n">
        <v>0</v>
      </c>
      <c r="J73" s="9">
        <f>E73-H73</f>
        <v/>
      </c>
    </row>
    <row r="74">
      <c r="A74" s="4" t="inlineStr">
        <is>
          <t>seed2</t>
        </is>
      </c>
      <c r="B74" s="4" t="n">
        <v>9</v>
      </c>
      <c r="C74" s="4" t="n">
        <v>41</v>
      </c>
      <c r="D74" s="4" t="n">
        <v>39</v>
      </c>
      <c r="E74" s="4" t="n">
        <v>90.26000000000001</v>
      </c>
      <c r="F74" s="4" t="n">
        <v>89.56</v>
      </c>
      <c r="G74" s="4" t="n">
        <v>96.55</v>
      </c>
      <c r="H74" s="4" t="n">
        <v>90.54000000000001</v>
      </c>
      <c r="I74" s="4" t="n">
        <v>0</v>
      </c>
      <c r="J74" s="9">
        <f>E74-H74</f>
        <v/>
      </c>
    </row>
    <row r="75">
      <c r="A75" s="4" t="inlineStr">
        <is>
          <t>seed2</t>
        </is>
      </c>
      <c r="B75" s="4" t="n">
        <v>10</v>
      </c>
      <c r="C75" s="4" t="n">
        <v>2</v>
      </c>
      <c r="D75" s="4" t="n">
        <v>78</v>
      </c>
      <c r="E75" s="4" t="n">
        <v>90.64</v>
      </c>
      <c r="F75" s="4" t="n">
        <v>89.95</v>
      </c>
      <c r="G75" s="4" t="n">
        <v>96.59999999999999</v>
      </c>
      <c r="H75" s="4" t="n">
        <v>90.54000000000001</v>
      </c>
      <c r="I75" s="4" t="n">
        <v>1</v>
      </c>
      <c r="J75" s="9">
        <f>E75-H75</f>
        <v/>
      </c>
    </row>
    <row r="76">
      <c r="A76" s="4" t="inlineStr">
        <is>
          <t>seed2</t>
        </is>
      </c>
      <c r="B76" s="4" t="n">
        <v>10</v>
      </c>
      <c r="C76" s="4" t="n">
        <v>11</v>
      </c>
      <c r="D76" s="4" t="n">
        <v>69</v>
      </c>
      <c r="E76" s="4" t="n">
        <v>90.58</v>
      </c>
      <c r="F76" s="4" t="n">
        <v>89.81</v>
      </c>
      <c r="G76" s="4" t="n">
        <v>96.38</v>
      </c>
      <c r="H76" s="4" t="n">
        <v>90.54000000000001</v>
      </c>
      <c r="I76" s="4" t="n">
        <v>1</v>
      </c>
      <c r="J76" s="9">
        <f>E76-H76</f>
        <v/>
      </c>
    </row>
    <row r="77">
      <c r="A77" s="4" t="inlineStr">
        <is>
          <t>seed2</t>
        </is>
      </c>
      <c r="B77" s="4" t="n">
        <v>10</v>
      </c>
      <c r="C77" s="4" t="n">
        <v>13</v>
      </c>
      <c r="D77" s="4" t="n">
        <v>67</v>
      </c>
      <c r="E77" s="4" t="n">
        <v>90.90000000000001</v>
      </c>
      <c r="F77" s="4" t="n">
        <v>90.16</v>
      </c>
      <c r="G77" s="4" t="n">
        <v>96.37</v>
      </c>
      <c r="H77" s="4" t="n">
        <v>90.54000000000001</v>
      </c>
      <c r="I77" s="4" t="n">
        <v>1</v>
      </c>
      <c r="J77" s="9">
        <f>E77-H77</f>
        <v/>
      </c>
    </row>
    <row r="78">
      <c r="A78" s="4" t="inlineStr">
        <is>
          <t>seed2</t>
        </is>
      </c>
      <c r="B78" s="4" t="n">
        <v>10</v>
      </c>
      <c r="C78" s="4" t="n">
        <v>14</v>
      </c>
      <c r="D78" s="4" t="n">
        <v>66</v>
      </c>
      <c r="E78" s="4" t="n">
        <v>90.18000000000001</v>
      </c>
      <c r="F78" s="4" t="n">
        <v>89.89</v>
      </c>
      <c r="G78" s="4" t="n">
        <v>96.3</v>
      </c>
      <c r="H78" s="4" t="n">
        <v>90.54000000000001</v>
      </c>
      <c r="I78" s="4" t="n">
        <v>0</v>
      </c>
      <c r="J78" s="9">
        <f>E78-H78</f>
        <v/>
      </c>
    </row>
    <row r="79">
      <c r="A79" s="4" t="inlineStr">
        <is>
          <t>seed2</t>
        </is>
      </c>
      <c r="B79" s="4" t="n">
        <v>10</v>
      </c>
      <c r="C79" s="4" t="n">
        <v>16</v>
      </c>
      <c r="D79" s="4" t="n">
        <v>64</v>
      </c>
      <c r="E79" s="4" t="n">
        <v>90.14</v>
      </c>
      <c r="F79" s="4" t="n">
        <v>90.06999999999999</v>
      </c>
      <c r="G79" s="4" t="n">
        <v>96.44</v>
      </c>
      <c r="H79" s="4" t="n">
        <v>90.54000000000001</v>
      </c>
      <c r="I79" s="4" t="n">
        <v>0</v>
      </c>
      <c r="J79" s="9">
        <f>E79-H79</f>
        <v/>
      </c>
    </row>
    <row r="80">
      <c r="A80" s="4" t="inlineStr">
        <is>
          <t>seed2</t>
        </is>
      </c>
      <c r="B80" s="4" t="n">
        <v>10</v>
      </c>
      <c r="C80" s="4" t="n">
        <v>21</v>
      </c>
      <c r="D80" s="4" t="n">
        <v>59</v>
      </c>
      <c r="E80" s="4" t="n">
        <v>90.12</v>
      </c>
      <c r="F80" s="4" t="n">
        <v>89.95999999999999</v>
      </c>
      <c r="G80" s="4" t="n">
        <v>96.28</v>
      </c>
      <c r="H80" s="4" t="n">
        <v>90.54000000000001</v>
      </c>
      <c r="I80" s="4" t="n">
        <v>0</v>
      </c>
      <c r="J80" s="9">
        <f>E80-H80</f>
        <v/>
      </c>
    </row>
    <row r="81">
      <c r="A81" s="4" t="inlineStr">
        <is>
          <t>seed2</t>
        </is>
      </c>
      <c r="B81" s="4" t="n">
        <v>10</v>
      </c>
      <c r="C81" s="4" t="n">
        <v>41</v>
      </c>
      <c r="D81" s="4" t="n">
        <v>39</v>
      </c>
      <c r="E81" s="4" t="n">
        <v>90.23999999999999</v>
      </c>
      <c r="F81" s="4" t="n">
        <v>89.56</v>
      </c>
      <c r="G81" s="4" t="n">
        <v>96.04000000000001</v>
      </c>
      <c r="H81" s="4" t="n">
        <v>90.54000000000001</v>
      </c>
      <c r="I81" s="4" t="n">
        <v>0</v>
      </c>
      <c r="J81" s="9">
        <f>E81-H81</f>
        <v/>
      </c>
    </row>
    <row r="83">
      <c r="A83" s="19" t="inlineStr">
        <is>
          <t>Source: runs/seedN/imp/rewind_trials.csv. Val acc standard error on 5k images is about 0.40pp, so margins under about 0.4pp are within noise.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 ht="30" customHeight="1">
      <c r="A1" s="3" t="inlineStr">
        <is>
          <t>Rule</t>
        </is>
      </c>
      <c r="B1" s="3" t="inlineStr">
        <is>
          <t>n rounds</t>
        </is>
      </c>
      <c r="C1" s="3" t="inlineStr">
        <is>
          <t>MAE (epochs)</t>
        </is>
      </c>
      <c r="D1" s="3" t="inlineStr">
        <is>
          <t>Mean signed error</t>
        </is>
      </c>
      <c r="E1" s="3" t="inlineStr">
        <is>
          <t># too late (would fail)</t>
        </is>
      </c>
      <c r="F1" s="3" t="inlineStr">
        <is>
          <t>Mean wasted epochs when early</t>
        </is>
      </c>
      <c r="G1" s="3" t="inlineStr">
        <is>
          <t>Spearman with t*</t>
        </is>
      </c>
    </row>
    <row r="2">
      <c r="A2" s="8" t="inlineStr">
        <is>
          <t>Loss match (train)</t>
        </is>
      </c>
      <c r="B2" s="8" t="n">
        <v>17</v>
      </c>
      <c r="C2" s="9" t="n">
        <v>16.64705882352941</v>
      </c>
      <c r="D2" s="9" t="n">
        <v>-2.647058823529412</v>
      </c>
      <c r="E2" s="9" t="n">
        <v>5</v>
      </c>
      <c r="F2" s="9" t="n">
        <v>13.66666666666667</v>
      </c>
      <c r="G2" s="9" t="n">
        <v>0.7852298349885692</v>
      </c>
    </row>
    <row r="3">
      <c r="A3" s="8" t="inlineStr">
        <is>
          <t>Accuracy match (val)</t>
        </is>
      </c>
      <c r="B3" s="8" t="n">
        <v>17</v>
      </c>
      <c r="C3" s="9" t="n">
        <v>18.70588235294118</v>
      </c>
      <c r="D3" s="9" t="n">
        <v>-6</v>
      </c>
      <c r="E3" s="9" t="n">
        <v>5</v>
      </c>
      <c r="F3" s="9" t="n">
        <v>17.5</v>
      </c>
      <c r="G3" s="9" t="n">
        <v>0.7158214604444126</v>
      </c>
    </row>
    <row r="4">
      <c r="A4" s="8" t="inlineStr">
        <is>
          <t>Loss match (val)</t>
        </is>
      </c>
      <c r="B4" s="8" t="n">
        <v>17</v>
      </c>
      <c r="C4" s="9" t="n">
        <v>20.29411764705882</v>
      </c>
      <c r="D4" s="9" t="n">
        <v>-10.05882352941176</v>
      </c>
      <c r="E4" s="9" t="n">
        <v>5</v>
      </c>
      <c r="F4" s="9" t="n">
        <v>21.5</v>
      </c>
      <c r="G4" s="9" t="n">
        <v>0.5719875971738851</v>
      </c>
    </row>
    <row r="5">
      <c r="A5" s="8" t="inlineStr">
        <is>
          <t>Loss match (val, vs dense)</t>
        </is>
      </c>
      <c r="B5" s="8" t="n">
        <v>17</v>
      </c>
      <c r="C5" s="9" t="n">
        <v>20.29411764705882</v>
      </c>
      <c r="D5" s="9" t="n">
        <v>-10.05882352941176</v>
      </c>
      <c r="E5" s="9" t="n">
        <v>5</v>
      </c>
      <c r="F5" s="9" t="n">
        <v>21.5</v>
      </c>
      <c r="G5" s="9" t="n">
        <v>0.5719875971738851</v>
      </c>
    </row>
    <row r="6">
      <c r="A6" s="8" t="inlineStr">
        <is>
          <t>Weight-movement match</t>
        </is>
      </c>
      <c r="B6" s="8" t="n">
        <v>17</v>
      </c>
      <c r="C6" s="9" t="n">
        <v>21.11764705882353</v>
      </c>
      <c r="D6" s="9" t="n">
        <v>-1.588235294117647</v>
      </c>
      <c r="E6" s="9" t="n">
        <v>6</v>
      </c>
      <c r="F6" s="9" t="n">
        <v>17.54545454545455</v>
      </c>
      <c r="G6" s="9" t="n">
        <v>0.5245283018867926</v>
      </c>
    </row>
    <row r="7">
      <c r="A7" s="8" t="inlineStr">
        <is>
          <t>Baseline: before last LR drop</t>
        </is>
      </c>
      <c r="B7" s="8" t="n">
        <v>17</v>
      </c>
      <c r="C7" s="9" t="n">
        <v>21.47058823529412</v>
      </c>
      <c r="D7" s="9" t="n">
        <v>3</v>
      </c>
      <c r="E7" s="9" t="n">
        <v>8</v>
      </c>
      <c r="F7" s="9" t="n">
        <v>17.44444444444444</v>
      </c>
      <c r="G7" s="9" t="n"/>
    </row>
    <row r="8">
      <c r="A8" s="8" t="inlineStr">
        <is>
          <t>Specialization point</t>
        </is>
      </c>
      <c r="B8" s="8" t="n">
        <v>17</v>
      </c>
      <c r="C8" s="9" t="n">
        <v>23</v>
      </c>
      <c r="D8" s="9" t="n">
        <v>-6.764705882352941</v>
      </c>
      <c r="E8" s="9" t="n">
        <v>6</v>
      </c>
      <c r="F8" s="9" t="n">
        <v>23</v>
      </c>
      <c r="G8" s="9" t="n">
        <v>0.284252775907222</v>
      </c>
    </row>
    <row r="9">
      <c r="A9" s="8" t="inlineStr">
        <is>
          <t>Baseline: before 1st LR drop</t>
        </is>
      </c>
      <c r="B9" s="8" t="n">
        <v>17</v>
      </c>
      <c r="C9" s="9" t="n">
        <v>26.64705882352941</v>
      </c>
      <c r="D9" s="9" t="n">
        <v>-17</v>
      </c>
      <c r="E9" s="9" t="n">
        <v>5</v>
      </c>
      <c r="F9" s="9" t="n">
        <v>30.91666666666667</v>
      </c>
      <c r="G9" s="9" t="n"/>
    </row>
    <row r="10">
      <c r="A10" s="8" t="inlineStr">
        <is>
          <t>Baseline: 5% of T</t>
        </is>
      </c>
      <c r="B10" s="8" t="n">
        <v>17</v>
      </c>
      <c r="C10" s="9" t="n">
        <v>52.23529411764706</v>
      </c>
      <c r="D10" s="9" t="n">
        <v>-52</v>
      </c>
      <c r="E10" s="9" t="n">
        <v>1</v>
      </c>
      <c r="F10" s="9" t="n">
        <v>55.375</v>
      </c>
      <c r="G10" s="9" t="n"/>
    </row>
    <row r="11">
      <c r="A11" s="18" t="inlineStr">
        <is>
          <t>Sparsity linear fit (cross-seed: fit on seed1 -&gt; predict seed2 and vice versa)</t>
        </is>
      </c>
      <c r="B11" s="18" t="n">
        <v>17</v>
      </c>
      <c r="C11" s="18" t="n">
        <v>11.8</v>
      </c>
    </row>
    <row r="13">
      <c r="A13" s="19" t="inlineStr">
        <is>
          <t>Source: analysis/rule_scores.csv (analyze.py). The sparsity-fit row was computed separately (leave-one-seed-out linear regression). Seed1 round 8 excluded (no t*).</t>
        </is>
      </c>
    </row>
    <row r="14">
      <c r="A14" s="19" t="inlineStr">
        <is>
          <t>Loss/acc-match rules collapse to 40 whenever damage &gt; 0, because the dense val loss is flat after the epoch-40 LR drop.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10" customWidth="1" min="4" max="4"/>
    <col width="16" customWidth="1" min="5" max="5"/>
    <col width="10" customWidth="1" min="6" max="6"/>
    <col width="18" customWidth="1" min="7" max="7"/>
    <col width="10" customWidth="1" min="8" max="8"/>
    <col width="18" customWidth="1" min="9" max="9"/>
  </cols>
  <sheetData>
    <row r="1" ht="45" customHeight="1">
      <c r="A1" s="3" t="inlineStr">
        <is>
          <t>Metric</t>
        </is>
      </c>
      <c r="B1" s="3" t="inlineStr">
        <is>
          <t>Spearman rho with t*</t>
        </is>
      </c>
      <c r="C1" s="3" t="inlineStr">
        <is>
          <t>p</t>
        </is>
      </c>
      <c r="D1" s="3" t="inlineStr">
        <is>
          <t>Pearson r</t>
        </is>
      </c>
      <c r="E1" s="3" t="inlineStr">
        <is>
          <t>Partial Spearman | sparsity</t>
        </is>
      </c>
      <c r="F1" s="3" t="inlineStr">
        <is>
          <t>p (partial)</t>
        </is>
      </c>
      <c r="G1" s="3" t="inlineStr">
        <is>
          <t>Spearman (only rounds with t* &lt; 80)</t>
        </is>
      </c>
      <c r="H1" s="3" t="inlineStr">
        <is>
          <t>p (t* &lt; 80)</t>
        </is>
      </c>
      <c r="I1" s="3" t="inlineStr">
        <is>
          <t>Significant beyond sparsity? (p &lt; 0.05)</t>
        </is>
      </c>
    </row>
    <row r="2">
      <c r="A2" s="8" t="inlineStr">
        <is>
          <t>sparsity</t>
        </is>
      </c>
      <c r="B2" s="20" t="n">
        <v>-0.8616288305240754</v>
      </c>
      <c r="C2" s="20" t="n">
        <v>8.808140137306171e-06</v>
      </c>
      <c r="D2" s="20" t="n">
        <v>-0.7987184744454529</v>
      </c>
      <c r="E2" s="20" t="n"/>
      <c r="F2" s="20" t="n"/>
      <c r="G2" s="20" t="n">
        <v>-0.9206478073717252</v>
      </c>
      <c r="H2" s="20" t="n">
        <v>2.166330091191597e-05</v>
      </c>
      <c r="I2" s="8">
        <f>IF(F2="","n/a",IF(F2&lt;0.05,"YES","no"))</f>
        <v/>
      </c>
    </row>
    <row r="3">
      <c r="A3" s="8" t="inlineStr">
        <is>
          <t>D_loss_val</t>
        </is>
      </c>
      <c r="B3" s="20" t="n">
        <v>-0.8057792010553343</v>
      </c>
      <c r="C3" s="20" t="n">
        <v>9.434183701871318e-05</v>
      </c>
      <c r="D3" s="20" t="n">
        <v>-0.6784124390181681</v>
      </c>
      <c r="E3" s="20" t="n">
        <v>-0.3525611396513481</v>
      </c>
      <c r="F3" s="20" t="n">
        <v>0.1651448940375069</v>
      </c>
      <c r="G3" s="20" t="n">
        <v>-0.6199659244794364</v>
      </c>
      <c r="H3" s="20" t="n">
        <v>0.0315202260794163</v>
      </c>
      <c r="I3" s="8">
        <f>IF(F3="","n/a",IF(F3&lt;0.05,"YES","no"))</f>
        <v/>
      </c>
    </row>
    <row r="4">
      <c r="A4" s="8" t="inlineStr">
        <is>
          <t>D_loss_train</t>
        </is>
      </c>
      <c r="B4" s="20" t="n">
        <v>-0.7697736589434627</v>
      </c>
      <c r="C4" s="20" t="n">
        <v>0.0003017353357888</v>
      </c>
      <c r="D4" s="20" t="n">
        <v>-0.6880998520225252</v>
      </c>
      <c r="E4" s="20" t="n">
        <v>-0.3273599794884637</v>
      </c>
      <c r="F4" s="20" t="n">
        <v>0.1996234862199013</v>
      </c>
      <c r="G4" s="20" t="n">
        <v>-0.5183895865703763</v>
      </c>
      <c r="H4" s="20" t="n">
        <v>0.0842287804347589</v>
      </c>
      <c r="I4" s="8">
        <f>IF(F4="","n/a",IF(F4&lt;0.05,"YES","no"))</f>
        <v/>
      </c>
    </row>
    <row r="5">
      <c r="A5" s="8" t="inlineStr">
        <is>
          <t>D_acc_val</t>
        </is>
      </c>
      <c r="B5" s="20" t="n">
        <v>-0.7714880998314249</v>
      </c>
      <c r="C5" s="20" t="n">
        <v>0.0002868345087499</v>
      </c>
      <c r="D5" s="20" t="n">
        <v>-0.6522094895731226</v>
      </c>
      <c r="E5" s="20" t="n">
        <v>-0.4034167136111477</v>
      </c>
      <c r="F5" s="20" t="n">
        <v>0.1083294517041452</v>
      </c>
      <c r="G5" s="20" t="n">
        <v>-0.4736842105263159</v>
      </c>
      <c r="H5" s="20" t="n">
        <v>0.1198076158963997</v>
      </c>
      <c r="I5" s="8">
        <f>IF(F5="","n/a",IF(F5&lt;0.05,"YES","no"))</f>
        <v/>
      </c>
    </row>
    <row r="6">
      <c r="A6" s="8" t="inlineStr">
        <is>
          <t>D_acc_train</t>
        </is>
      </c>
      <c r="B6" s="20" t="n">
        <v>-0.8211813751828855</v>
      </c>
      <c r="C6" s="20" t="n">
        <v>5.325018082513023e-05</v>
      </c>
      <c r="D6" s="20" t="n">
        <v>-0.7014822456535554</v>
      </c>
      <c r="E6" s="20" t="n">
        <v>-0.4181798597147295</v>
      </c>
      <c r="F6" s="20" t="n">
        <v>0.09483218734301389</v>
      </c>
      <c r="G6" s="20" t="n">
        <v>-0.5779343363791357</v>
      </c>
      <c r="H6" s="20" t="n">
        <v>0.0490488481513114</v>
      </c>
      <c r="I6" s="8">
        <f>IF(F6="","n/a",IF(F6&lt;0.05,"YES","no"))</f>
        <v/>
      </c>
    </row>
    <row r="7">
      <c r="A7" s="8" t="inlineStr">
        <is>
          <t>D_loss_val_vs_dense</t>
        </is>
      </c>
      <c r="B7" s="20" t="n">
        <v>-0.7412175393374956</v>
      </c>
      <c r="C7" s="20" t="n">
        <v>0.0006622863449167</v>
      </c>
      <c r="D7" s="20" t="n">
        <v>-0.6428015944484994</v>
      </c>
      <c r="E7" s="20" t="n">
        <v>-0.2657934958009376</v>
      </c>
      <c r="F7" s="20" t="n">
        <v>0.3024849967866591</v>
      </c>
      <c r="G7" s="20" t="n">
        <v>-0.4378290427114664</v>
      </c>
      <c r="H7" s="20" t="n">
        <v>0.1545864124755299</v>
      </c>
      <c r="I7" s="8">
        <f>IF(F7="","n/a",IF(F7&lt;0.05,"YES","no"))</f>
        <v/>
      </c>
    </row>
    <row r="8">
      <c r="A8" s="8" t="inlineStr">
        <is>
          <t>D_acc_val_vs_dense</t>
        </is>
      </c>
      <c r="B8" s="20" t="n">
        <v>-0.7958466377141284</v>
      </c>
      <c r="C8" s="20" t="n">
        <v>0.0001329575369349</v>
      </c>
      <c r="D8" s="20" t="n">
        <v>-0.6986382861353619</v>
      </c>
      <c r="E8" s="20" t="n">
        <v>-0.4640731541454108</v>
      </c>
      <c r="F8" s="20" t="n">
        <v>0.0605853317111383</v>
      </c>
      <c r="G8" s="20" t="n">
        <v>-0.4588448367616168</v>
      </c>
      <c r="H8" s="20" t="n">
        <v>0.133506869463948</v>
      </c>
      <c r="I8" s="8">
        <f>IF(F8="","n/a",IF(F8&lt;0.05,"YES","no"))</f>
        <v/>
      </c>
    </row>
    <row r="9">
      <c r="A9" s="8" t="inlineStr">
        <is>
          <t>weight_perturbation</t>
        </is>
      </c>
      <c r="B9" s="20" t="n">
        <v>-0.597195370890009</v>
      </c>
      <c r="C9" s="20" t="n">
        <v>0.0113662160366126</v>
      </c>
      <c r="D9" s="20" t="n">
        <v>-0.5264665449784309</v>
      </c>
      <c r="E9" s="20" t="n">
        <v>-0.3472433646768284</v>
      </c>
      <c r="F9" s="20" t="n">
        <v>0.1720602284053305</v>
      </c>
      <c r="G9" s="20" t="n">
        <v>-0.1506131906927444</v>
      </c>
      <c r="H9" s="20" t="n">
        <v>0.6403345250750125</v>
      </c>
      <c r="I9" s="8">
        <f>IF(F9="","n/a",IF(F9&lt;0.05,"YES","no"))</f>
        <v/>
      </c>
    </row>
    <row r="10">
      <c r="A10" s="8" t="inlineStr">
        <is>
          <t>removed_weight_norm</t>
        </is>
      </c>
      <c r="B10" s="20" t="n">
        <v>-0.5599482583604866</v>
      </c>
      <c r="C10" s="20" t="n">
        <v>0.0194104532824419</v>
      </c>
      <c r="D10" s="20" t="n">
        <v>-0.3959743557629226</v>
      </c>
      <c r="E10" s="20" t="n">
        <v>-0.3414560343684998</v>
      </c>
      <c r="F10" s="20" t="n">
        <v>0.1798036822811471</v>
      </c>
      <c r="G10" s="20" t="n">
        <v>-0.0455342204419925</v>
      </c>
      <c r="H10" s="20" t="n">
        <v>0.8882523316528931</v>
      </c>
      <c r="I10" s="8">
        <f>IF(F10="","n/a",IF(F10&lt;0.05,"YES","no"))</f>
        <v/>
      </c>
    </row>
    <row r="11">
      <c r="A11" s="8" t="inlineStr">
        <is>
          <t>D_loss_val_no_bn_recal</t>
        </is>
      </c>
      <c r="B11" s="20" t="n">
        <v>-0.7871556447905732</v>
      </c>
      <c r="C11" s="20" t="n">
        <v>0.0001768850457683</v>
      </c>
      <c r="D11" s="20" t="n">
        <v>-0.4928230107834886</v>
      </c>
      <c r="E11" s="20" t="n">
        <v>-0.3367526556516508</v>
      </c>
      <c r="F11" s="20" t="n">
        <v>0.1862650254840067</v>
      </c>
      <c r="G11" s="20" t="n">
        <v>-0.4833632631534589</v>
      </c>
      <c r="H11" s="20" t="n">
        <v>0.1113898164753826</v>
      </c>
      <c r="I11" s="8">
        <f>IF(F11="","n/a",IF(F11&lt;0.05,"YES","no"))</f>
        <v/>
      </c>
    </row>
    <row r="12">
      <c r="A12" s="8" t="inlineStr">
        <is>
          <t>D_acc_val_no_bn_recal</t>
        </is>
      </c>
      <c r="B12" s="20" t="n">
        <v>-0.7958466377141284</v>
      </c>
      <c r="C12" s="20" t="n">
        <v>0.0001329575369349</v>
      </c>
      <c r="D12" s="20" t="n">
        <v>-0.5776615290590333</v>
      </c>
      <c r="E12" s="20" t="n">
        <v>-0.3746453876990768</v>
      </c>
      <c r="F12" s="20" t="n">
        <v>0.138437682438496</v>
      </c>
      <c r="G12" s="20" t="n">
        <v>-0.5078816895453011</v>
      </c>
      <c r="H12" s="20" t="n">
        <v>0.0918457918572555</v>
      </c>
      <c r="I12" s="8">
        <f>IF(F12="","n/a",IF(F12&lt;0.05,"YES","no"))</f>
        <v/>
      </c>
    </row>
    <row r="13">
      <c r="A13" s="8" t="inlineStr">
        <is>
          <t>deficit_after</t>
        </is>
      </c>
      <c r="B13" s="20" t="n">
        <v>-0.7958466377141284</v>
      </c>
      <c r="C13" s="20" t="n">
        <v>0.0001329575369349</v>
      </c>
      <c r="D13" s="20" t="n">
        <v>-0.6986382861353619</v>
      </c>
      <c r="E13" s="20" t="n">
        <v>-0.4640731541454108</v>
      </c>
      <c r="F13" s="20" t="n">
        <v>0.0605853317111383</v>
      </c>
      <c r="G13" s="20" t="n">
        <v>-0.4588448367616168</v>
      </c>
      <c r="H13" s="20" t="n">
        <v>0.133506869463948</v>
      </c>
      <c r="I13" s="8">
        <f>IF(F13="","n/a",IF(F13&lt;0.05,"YES","no"))</f>
        <v/>
      </c>
    </row>
    <row r="14">
      <c r="A14" s="15" t="inlineStr">
        <is>
          <t>headroom_before</t>
        </is>
      </c>
      <c r="B14" s="21" t="n">
        <v>0.7242140983609158</v>
      </c>
      <c r="C14" s="21" t="n">
        <v>0.0010106767232683</v>
      </c>
      <c r="D14" s="21" t="n">
        <v>0.63799575916685</v>
      </c>
      <c r="E14" s="21" t="n">
        <v>0.6090570215305454</v>
      </c>
      <c r="F14" s="21" t="n">
        <v>0.009457664455288801</v>
      </c>
      <c r="G14" s="21" t="n">
        <v>0.2464678710973371</v>
      </c>
      <c r="H14" s="21" t="n">
        <v>0.4399758911406628</v>
      </c>
      <c r="I14" s="15">
        <f>IF(F14="","n/a",IF(F14&lt;0.05,"YES","no"))</f>
        <v/>
      </c>
    </row>
    <row r="15">
      <c r="A15" s="8" t="inlineStr">
        <is>
          <t>prev_retrain</t>
        </is>
      </c>
      <c r="B15" s="20" t="n">
        <v>-0.172435528168118</v>
      </c>
      <c r="C15" s="20" t="n">
        <v>0.5080988722372962</v>
      </c>
      <c r="D15" s="20" t="n">
        <v>-0.1998268114013738</v>
      </c>
      <c r="E15" s="20" t="n">
        <v>0.0733635205973607</v>
      </c>
      <c r="F15" s="20" t="n">
        <v>0.7796140383478964</v>
      </c>
      <c r="G15" s="20" t="n">
        <v>-0.7880055442166487</v>
      </c>
      <c r="H15" s="20" t="n">
        <v>0.0023330780875229</v>
      </c>
      <c r="I15" s="8">
        <f>IF(F15="","n/a",IF(F15&lt;0.05,"YES","no"))</f>
        <v/>
      </c>
    </row>
    <row r="16">
      <c r="A16" s="8" t="inlineStr">
        <is>
          <t>before_val_acc</t>
        </is>
      </c>
      <c r="B16" s="20" t="n">
        <v>0.7119971957007916</v>
      </c>
      <c r="C16" s="20" t="n">
        <v>0.0013447758831655</v>
      </c>
      <c r="D16" s="20" t="n">
        <v>0.6415266445043531</v>
      </c>
      <c r="E16" s="20" t="n">
        <v>0.5338973269677397</v>
      </c>
      <c r="F16" s="20" t="n">
        <v>0.0272823990495839</v>
      </c>
      <c r="G16" s="20" t="n">
        <v>0.216324298160124</v>
      </c>
      <c r="H16" s="20" t="n">
        <v>0.499487947662529</v>
      </c>
      <c r="I16" s="8">
        <f>IF(F16="","n/a",IF(F16&lt;0.05,"YES","no"))</f>
        <v/>
      </c>
    </row>
    <row r="18">
      <c r="A18" s="19" t="inlineStr">
        <is>
          <t>Data: the 17 rounds with a t* (seed1 rounds 1-7, seed2 rounds 1-10).</t>
        </is>
      </c>
    </row>
    <row r="19">
      <c r="A19" s="19" t="inlineStr">
        <is>
          <t>Partial Spearman = rank correlation after regressing out the rank of sparsity. It asks whether the metric explains t* beyond 'both grow with sparsity'.</t>
        </is>
      </c>
    </row>
    <row r="20">
      <c r="A20" s="19" t="inlineStr">
        <is>
          <t>headroom_before = before_val_acc - target; deficit_after = target - after_val_acc (same ranking as D_acc_val_vs_dense); prev_retrain = retrain epochs of the previous round.</t>
        </is>
      </c>
    </row>
    <row r="21">
      <c r="A21" s="19" t="inlineStr">
        <is>
          <t>With n = 17 the p-values are rough; treat |rho| &lt; 0.5 as weak. prev_retrain's -0.79 among t* &lt; 80 is confounded with sparsity (later rounds follow longer retrains).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t_star_by_sparsity.png</t>
        </is>
      </c>
    </row>
    <row r="17">
      <c r="A17" s="18" t="inlineStr">
        <is>
          <t>t_star_vs_features.png</t>
        </is>
      </c>
    </row>
    <row r="32">
      <c r="A32" s="18" t="inlineStr">
        <is>
          <t>predicted_vs_actual.png</t>
        </is>
      </c>
    </row>
    <row r="64">
      <c r="A64" s="18" t="inlineStr">
        <is>
          <t>rewind_curves_seed1.png</t>
        </is>
      </c>
    </row>
    <row r="76">
      <c r="A76" s="18" t="inlineStr">
        <is>
          <t>rewind_curves_seed2.png</t>
        </is>
      </c>
    </row>
    <row r="97">
      <c r="A97" s="18" t="inlineStr">
        <is>
          <t>dense_curves_seed1.png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2026-10-05T11:58:54Z</dcterms:created>
  <dcterms:modified xsi:type="dcterms:W3CDTF">2026-10-05T11:58:54Z</dcterms:modified>
</cp:coreProperties>
</file>